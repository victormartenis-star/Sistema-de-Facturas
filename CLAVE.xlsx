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aña" sheetId="1" state="visible" r:id="rId1"/>
    <sheet xmlns:r="http://schemas.openxmlformats.org/officeDocument/2006/relationships" name="Francia" sheetId="2" state="visible" r:id="rId2"/>
    <sheet xmlns:r="http://schemas.openxmlformats.org/officeDocument/2006/relationships" name="Alemania" sheetId="3" state="visible" r:id="rId3"/>
    <sheet xmlns:r="http://schemas.openxmlformats.org/officeDocument/2006/relationships" name="Italia" sheetId="4" state="visible" r:id="rId4"/>
    <sheet xmlns:r="http://schemas.openxmlformats.org/officeDocument/2006/relationships" name="Portugal" sheetId="5" state="visible" r:id="rId5"/>
    <sheet xmlns:r="http://schemas.openxmlformats.org/officeDocument/2006/relationships" name="Grecia" sheetId="6" state="visible" r:id="rId6"/>
    <sheet xmlns:r="http://schemas.openxmlformats.org/officeDocument/2006/relationships" name="Países Bajos" sheetId="7" state="visible" r:id="rId7"/>
    <sheet xmlns:r="http://schemas.openxmlformats.org/officeDocument/2006/relationships" name="Suecia" sheetId="8" state="visible" r:id="rId8"/>
    <sheet xmlns:r="http://schemas.openxmlformats.org/officeDocument/2006/relationships" name="Polonia" sheetId="9" state="visible" r:id="rId9"/>
    <sheet xmlns:r="http://schemas.openxmlformats.org/officeDocument/2006/relationships" name="Irlanda" sheetId="10" state="visible" r:id="rId10"/>
    <sheet xmlns:r="http://schemas.openxmlformats.org/officeDocument/2006/relationships" name="Principal" sheetId="11" state="visible" r:id="rId11"/>
    <sheet xmlns:r="http://schemas.openxmlformats.org/officeDocument/2006/relationships" name="Condicional" sheetId="12" state="visible" r:id="rId12"/>
    <sheet xmlns:r="http://schemas.openxmlformats.org/officeDocument/2006/relationships" name="Buscar" sheetId="13" state="visible" r:id="rId13"/>
    <sheet xmlns:r="http://schemas.openxmlformats.org/officeDocument/2006/relationships" name="Dashboard" sheetId="14" state="visible" r:id="rId14"/>
    <sheet xmlns:r="http://schemas.openxmlformats.org/officeDocument/2006/relationships" name="Dinámicas1" sheetId="15" state="visible" r:id="rId15"/>
    <sheet xmlns:r="http://schemas.openxmlformats.org/officeDocument/2006/relationships" name="Dinámicas2" sheetId="16" state="visible" r:id="rId16"/>
    <sheet xmlns:r="http://schemas.openxmlformats.org/officeDocument/2006/relationships" name="Pears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4"/>
    </font>
    <font>
      <name val="Calibri"/>
      <b val="1"/>
      <sz val="10"/>
    </font>
    <font>
      <name val="Calibri"/>
      <b val="1"/>
      <color rgb="002E75B6"/>
      <sz val="11"/>
    </font>
    <font>
      <name val="Calibri"/>
      <b val="1"/>
      <color rgb="00FF6600"/>
      <sz val="10"/>
    </font>
    <font>
      <name val="Calibri"/>
      <b val="1"/>
      <color rgb="00806000"/>
      <sz val="10"/>
    </font>
    <font>
      <name val="Calibri"/>
      <b val="1"/>
      <color rgb="00FF0000"/>
      <sz val="10"/>
    </font>
    <font>
      <name val="Calibri"/>
      <color rgb="0000B050"/>
      <sz val="10"/>
    </font>
    <font>
      <name val="Calibri"/>
      <color rgb="00FF6600"/>
      <sz val="10"/>
    </font>
    <font>
      <name val="Calibri"/>
      <b val="1"/>
      <color rgb="001F3864"/>
      <sz val="18"/>
    </font>
    <font>
      <name val="Calibri"/>
      <i val="1"/>
      <color rgb="00666666"/>
      <sz val="11"/>
    </font>
    <font>
      <b val="1"/>
    </font>
    <font>
      <name val="Calibri"/>
      <b val="1"/>
      <color rgb="00FFFFFF"/>
    </font>
    <font>
      <name val="Calibri"/>
      <i val="1"/>
      <color rgb="00666666"/>
      <sz val="10"/>
    </font>
    <font>
      <name val="Calibri"/>
      <b val="1"/>
      <color rgb="001F3864"/>
      <sz val="12"/>
    </font>
    <font>
      <name val="Calibri"/>
      <i val="1"/>
      <color rgb="001F3864"/>
      <sz val="11"/>
    </font>
    <font>
      <name val="Calibri"/>
      <b val="1"/>
    </font>
    <font>
      <name val="Consolas"/>
      <color rgb="002E75B6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00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8" fillId="5" borderId="0" pivotButton="0" quotePrefix="0" xfId="0"/>
    <xf numFmtId="0" fontId="5" fillId="0" borderId="0" pivotButton="0" quotePrefix="0" xfId="0"/>
    <xf numFmtId="0" fontId="9" fillId="6" borderId="1" applyAlignment="1" pivotButton="0" quotePrefix="0" xfId="0">
      <alignment horizontal="center"/>
    </xf>
    <xf numFmtId="0" fontId="1" fillId="2" borderId="0" pivotButton="0" quotePrefix="0" xfId="0"/>
    <xf numFmtId="0" fontId="8" fillId="5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2" fontId="0" fillId="0" borderId="1" pivotButton="0" quotePrefix="0" xfId="0"/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14" fillId="7" borderId="1" pivotButton="0" quotePrefix="0" xfId="0"/>
    <xf numFmtId="164" fontId="14" fillId="7" borderId="1" pivotButton="0" quotePrefix="0" xfId="0"/>
    <xf numFmtId="2" fontId="0" fillId="4" borderId="1" applyAlignment="1" pivotButton="0" quotePrefix="0" xfId="0">
      <alignment horizontal="center"/>
    </xf>
    <xf numFmtId="2" fontId="4" fillId="0" borderId="1" pivotButton="0" quotePrefix="0" xfId="0"/>
    <xf numFmtId="0" fontId="15" fillId="0" borderId="0" pivotButton="0" quotePrefix="0" xfId="0"/>
    <xf numFmtId="0" fontId="13" fillId="8" borderId="1" pivotButton="0" quotePrefix="0" xfId="0"/>
    <xf numFmtId="0" fontId="0" fillId="8" borderId="1" pivotButton="0" quotePrefix="0" xfId="0"/>
    <xf numFmtId="0" fontId="2" fillId="0" borderId="1" pivotButton="0" quotePrefix="0" xfId="0"/>
    <xf numFmtId="0" fontId="16" fillId="8" borderId="1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1" pivotButton="0" quotePrefix="0" xfId="0"/>
  </cellXfs>
  <cellStyles count="1">
    <cellStyle name="Normal" xfId="0" builtinId="0" hidden="0"/>
  </cellStyles>
  <dxfs count="3">
    <dxf>
      <font>
        <name val="Calibri"/>
        <b val="1"/>
        <color rgb="00FF6600"/>
        <sz val="10"/>
      </font>
      <fill>
        <patternFill patternType="solid">
          <fgColor rgb="00FFF2CC"/>
        </patternFill>
      </fill>
    </dxf>
    <dxf>
      <font>
        <name val="Calibri"/>
        <b val="1"/>
        <color rgb="00806000"/>
        <sz val="10"/>
      </font>
      <fill>
        <patternFill patternType="solid">
          <fgColor rgb="00FFC000"/>
        </patternFill>
      </fill>
    </dxf>
    <dxf>
      <font>
        <name val="Calibri"/>
        <b val="1"/>
        <color rgb="00FF0000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PIB per cápita medio por país (2019-2023)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'Dashboard'!$A$36:$A$45</f>
            </numRef>
          </cat>
          <val>
            <numRef>
              <f>'Dashboard'!$B$36:$B$45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País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PIB per cápita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del desempleo medio por país</a:t>
            </a:r>
          </a:p>
        </rich>
      </tx>
    </title>
    <plotArea>
      <pieChart>
        <varyColors val="1"/>
        <ser>
          <idx val="0"/>
          <order val="0"/>
          <tx>
            <strRef>
              <f>'Dashboard'!C35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'Dashboard'!$A$36:$A$45</f>
            </numRef>
          </cat>
          <val>
            <numRef>
              <f>'Dashboard'!$C$36:$C$45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del PIB per cápita por país (2019-2023)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'Dashboard'!$A$49:$A$53</f>
            </numRef>
          </cat>
          <val>
            <numRef>
              <f>'Dashboard'!$B$49:$B$53</f>
            </numRef>
          </val>
        </ser>
        <ser>
          <idx val="1"/>
          <order val="1"/>
          <tx>
            <strRef>
              <f>'Dashboard'!C48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'Dashboard'!$A$49:$A$53</f>
            </numRef>
          </cat>
          <val>
            <numRef>
              <f>'Dashboard'!$C$49:$C$53</f>
            </numRef>
          </val>
        </ser>
        <ser>
          <idx val="2"/>
          <order val="2"/>
          <tx>
            <strRef>
              <f>'Dashboard'!D48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'Dashboard'!$A$49:$A$53</f>
            </numRef>
          </cat>
          <val>
            <numRef>
              <f>'Dashboard'!$D$49:$D$53</f>
            </numRef>
          </val>
        </ser>
        <ser>
          <idx val="3"/>
          <order val="3"/>
          <tx>
            <strRef>
              <f>'Dashboard'!E48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'Dashboard'!$A$49:$A$53</f>
            </numRef>
          </cat>
          <val>
            <numRef>
              <f>'Dashboard'!$E$49:$E$53</f>
            </numRef>
          </val>
        </ser>
        <ser>
          <idx val="4"/>
          <order val="4"/>
          <tx>
            <strRef>
              <f>'Dashboard'!F48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'Dashboard'!$A$49:$A$53</f>
            </numRef>
          </cat>
          <val>
            <numRef>
              <f>'Dashboard'!$F$49:$F$53</f>
            </numRef>
          </val>
        </ser>
        <ser>
          <idx val="5"/>
          <order val="5"/>
          <tx>
            <strRef>
              <f>'Dashboard'!G48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'Dashboard'!$A$49:$A$53</f>
            </numRef>
          </cat>
          <val>
            <numRef>
              <f>'Dashboard'!$G$49:$G$53</f>
            </numRef>
          </val>
        </ser>
        <ser>
          <idx val="6"/>
          <order val="6"/>
          <tx>
            <strRef>
              <f>'Dashboard'!H48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'Dashboard'!$A$49:$A$53</f>
            </numRef>
          </cat>
          <val>
            <numRef>
              <f>'Dashboard'!$H$49:$H$53</f>
            </numRef>
          </val>
        </ser>
        <ser>
          <idx val="7"/>
          <order val="7"/>
          <tx>
            <strRef>
              <f>'Dashboard'!I48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'Dashboard'!$A$49:$A$53</f>
            </numRef>
          </cat>
          <val>
            <numRef>
              <f>'Dashboard'!$I$49:$I$53</f>
            </numRef>
          </val>
        </ser>
        <ser>
          <idx val="8"/>
          <order val="8"/>
          <tx>
            <strRef>
              <f>'Dashboard'!J48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'Dashboard'!$A$49:$A$53</f>
            </numRef>
          </cat>
          <val>
            <numRef>
              <f>'Dashboard'!$J$49:$J$53</f>
            </numRef>
          </val>
        </ser>
        <ser>
          <idx val="9"/>
          <order val="9"/>
          <tx>
            <strRef>
              <f>'Dashboard'!K48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'Dashboard'!$A$49:$A$53</f>
            </numRef>
          </cat>
          <val>
            <numRef>
              <f>'Dashboard'!$K$49:$K$53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PIB per cápita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1080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5" customWidth="1" min="5" max="5"/>
    <col width="21" customWidth="1" min="6" max="6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PIB_per_capita_€</t>
        </is>
      </c>
      <c r="D1" s="1" t="inlineStr">
        <is>
          <t>Inflación_%</t>
        </is>
      </c>
      <c r="E1" s="1" t="inlineStr">
        <is>
          <t>Desempleo_%</t>
        </is>
      </c>
      <c r="F1" s="1" t="inlineStr">
        <is>
          <t>Crecimiento_PIB_%</t>
        </is>
      </c>
    </row>
    <row r="2">
      <c r="A2" s="2" t="inlineStr">
        <is>
          <t>España</t>
        </is>
      </c>
      <c r="B2" s="2" t="n">
        <v>2019</v>
      </c>
      <c r="C2" s="3" t="n">
        <v>39564.14</v>
      </c>
      <c r="D2" s="4" t="n">
        <v>5.8</v>
      </c>
      <c r="E2" s="4" t="n">
        <v>16.32</v>
      </c>
      <c r="F2" s="4" t="n">
        <v>0.46</v>
      </c>
    </row>
    <row r="3">
      <c r="A3" s="2" t="inlineStr">
        <is>
          <t>España</t>
        </is>
      </c>
      <c r="B3" s="2" t="n">
        <v>2020</v>
      </c>
      <c r="C3" s="3" t="n">
        <v>38385.14</v>
      </c>
      <c r="D3" s="4" t="n">
        <v>6.54</v>
      </c>
      <c r="E3" s="4" t="n">
        <v>11.59</v>
      </c>
      <c r="F3" s="4" t="n">
        <v>-7.77</v>
      </c>
    </row>
    <row r="4">
      <c r="A4" s="2" t="inlineStr">
        <is>
          <t>España</t>
        </is>
      </c>
      <c r="B4" s="2" t="n">
        <v>2021</v>
      </c>
      <c r="C4" s="3" t="n">
        <v>49929.16</v>
      </c>
      <c r="D4" s="4" t="n">
        <v>-0.15</v>
      </c>
      <c r="E4" s="4" t="n">
        <v>15.31</v>
      </c>
      <c r="F4" s="4" t="n">
        <v>4.17</v>
      </c>
    </row>
    <row r="5">
      <c r="A5" s="2" t="inlineStr">
        <is>
          <t>España</t>
        </is>
      </c>
      <c r="B5" s="2" t="n">
        <v>2022</v>
      </c>
      <c r="C5" s="3" t="n">
        <v>40325.34</v>
      </c>
      <c r="D5" s="4" t="n">
        <v>8.06</v>
      </c>
      <c r="E5" s="4" t="n">
        <v>11.97</v>
      </c>
      <c r="F5" s="4" t="n">
        <v>1.28</v>
      </c>
    </row>
    <row r="6">
      <c r="A6" s="2" t="inlineStr">
        <is>
          <t>España</t>
        </is>
      </c>
      <c r="B6" s="2" t="n">
        <v>2023</v>
      </c>
      <c r="C6" s="3" t="n">
        <v>58328.86</v>
      </c>
      <c r="D6" s="4" t="n">
        <v>6.58</v>
      </c>
      <c r="E6" s="4" t="n">
        <v>17.77</v>
      </c>
      <c r="F6" s="4" t="n">
        <v>-1.8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5" customWidth="1" min="5" max="5"/>
    <col width="21" customWidth="1" min="6" max="6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PIB_per_capita_€</t>
        </is>
      </c>
      <c r="D1" s="1" t="inlineStr">
        <is>
          <t>Inflación_%</t>
        </is>
      </c>
      <c r="E1" s="1" t="inlineStr">
        <is>
          <t>Desempleo_%</t>
        </is>
      </c>
      <c r="F1" s="1" t="inlineStr">
        <is>
          <t>Crecimiento_PIB_%</t>
        </is>
      </c>
    </row>
    <row r="2">
      <c r="A2" s="2" t="inlineStr">
        <is>
          <t>Francia</t>
        </is>
      </c>
      <c r="B2" s="2" t="n">
        <v>2019</v>
      </c>
      <c r="C2" s="3" t="n">
        <v>47563.62</v>
      </c>
      <c r="D2" s="4" t="n">
        <v>0.67</v>
      </c>
      <c r="E2" s="4" t="n">
        <v>11.61</v>
      </c>
      <c r="F2" s="4" t="n">
        <v>-5.81</v>
      </c>
    </row>
    <row r="3">
      <c r="A3" s="2" t="inlineStr">
        <is>
          <t>Francia</t>
        </is>
      </c>
      <c r="B3" s="2" t="n">
        <v>2020</v>
      </c>
      <c r="C3" s="3" t="n">
        <v>56511.45</v>
      </c>
      <c r="D3" s="4" t="n">
        <v>0.36</v>
      </c>
      <c r="E3" s="4" t="n">
        <v>17.11</v>
      </c>
      <c r="F3" s="4" t="n">
        <v>-6.41</v>
      </c>
    </row>
    <row r="4">
      <c r="A4" s="2" t="inlineStr">
        <is>
          <t>Francia</t>
        </is>
      </c>
      <c r="B4" s="2" t="n">
        <v>2021</v>
      </c>
      <c r="C4" s="3" t="n">
        <v>26386.02</v>
      </c>
      <c r="D4" s="4" t="n">
        <v>0.25</v>
      </c>
      <c r="E4" s="4" t="n">
        <v>16.75</v>
      </c>
      <c r="F4" s="4" t="n">
        <v>2.42</v>
      </c>
    </row>
    <row r="5">
      <c r="A5" s="2" t="inlineStr">
        <is>
          <t>Francia</t>
        </is>
      </c>
      <c r="B5" s="2" t="n">
        <v>2022</v>
      </c>
      <c r="C5" s="3" t="n">
        <v>53064.37</v>
      </c>
      <c r="D5" s="4" t="n">
        <v>6.56</v>
      </c>
      <c r="E5" s="4" t="n">
        <v>13.43</v>
      </c>
      <c r="F5" s="4" t="n">
        <v>-3.19</v>
      </c>
    </row>
    <row r="6">
      <c r="A6" s="2" t="inlineStr">
        <is>
          <t>Francia</t>
        </is>
      </c>
      <c r="B6" s="2" t="n">
        <v>2023</v>
      </c>
      <c r="C6" s="3" t="n">
        <v>25061.87</v>
      </c>
      <c r="D6" s="4" t="n">
        <v>7.45</v>
      </c>
      <c r="E6" s="4" t="n">
        <v>11.21</v>
      </c>
      <c r="F6" s="4" t="n">
        <v>-7.1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5" customWidth="1" min="5" max="5"/>
    <col width="21" customWidth="1" min="6" max="6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PIB_per_capita_€</t>
        </is>
      </c>
      <c r="D1" s="1" t="inlineStr">
        <is>
          <t>Inflación_%</t>
        </is>
      </c>
      <c r="E1" s="1" t="inlineStr">
        <is>
          <t>Desempleo_%</t>
        </is>
      </c>
      <c r="F1" s="1" t="inlineStr">
        <is>
          <t>Crecimiento_PIB_%</t>
        </is>
      </c>
    </row>
    <row r="2">
      <c r="A2" s="2" t="inlineStr">
        <is>
          <t>Alemania</t>
        </is>
      </c>
      <c r="B2" s="2" t="n">
        <v>2019</v>
      </c>
      <c r="C2" s="3" t="n">
        <v>56058.77</v>
      </c>
      <c r="D2" s="4" t="n">
        <v>0.57</v>
      </c>
      <c r="E2" s="4" t="n">
        <v>11.64</v>
      </c>
      <c r="F2" s="4" t="n">
        <v>-4.29</v>
      </c>
    </row>
    <row r="3">
      <c r="A3" s="2" t="inlineStr">
        <is>
          <t>Alemania</t>
        </is>
      </c>
      <c r="B3" s="2" t="n">
        <v>2020</v>
      </c>
      <c r="C3" s="3" t="n">
        <v>53796.31</v>
      </c>
      <c r="D3" s="4" t="n">
        <v>9.449999999999999</v>
      </c>
      <c r="E3" s="4" t="n">
        <v>15.09</v>
      </c>
      <c r="F3" s="4" t="n">
        <v>-6.15</v>
      </c>
    </row>
    <row r="4">
      <c r="A4" s="2" t="inlineStr">
        <is>
          <t>Alemania</t>
        </is>
      </c>
      <c r="B4" s="2" t="n">
        <v>2021</v>
      </c>
      <c r="C4" s="3" t="n">
        <v>43047.33</v>
      </c>
      <c r="D4" s="4" t="n">
        <v>2.02</v>
      </c>
      <c r="E4" s="4" t="n">
        <v>6.23</v>
      </c>
      <c r="F4" s="4" t="n">
        <v>-6.79</v>
      </c>
    </row>
    <row r="5">
      <c r="A5" s="2" t="inlineStr">
        <is>
          <t>Alemania</t>
        </is>
      </c>
      <c r="B5" s="2" t="n">
        <v>2022</v>
      </c>
      <c r="C5" s="3" t="n">
        <v>51480.44</v>
      </c>
      <c r="D5" s="4" t="n">
        <v>0.41</v>
      </c>
      <c r="E5" s="4" t="n">
        <v>16.5</v>
      </c>
      <c r="F5" s="4" t="n">
        <v>-1.21</v>
      </c>
    </row>
    <row r="6">
      <c r="A6" s="2" t="inlineStr">
        <is>
          <t>Alemania</t>
        </is>
      </c>
      <c r="B6" s="2" t="n">
        <v>2023</v>
      </c>
      <c r="C6" s="3" t="n">
        <v>30357.03</v>
      </c>
      <c r="D6" s="4" t="n">
        <v>3.71</v>
      </c>
      <c r="E6" s="4" t="n">
        <v>3.5</v>
      </c>
      <c r="F6" s="4" t="n">
        <v>3.71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5" customWidth="1" min="5" max="5"/>
    <col width="21" customWidth="1" min="6" max="6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PIB_per_capita_€</t>
        </is>
      </c>
      <c r="D1" s="1" t="inlineStr">
        <is>
          <t>Inflación_%</t>
        </is>
      </c>
      <c r="E1" s="1" t="inlineStr">
        <is>
          <t>Desempleo_%</t>
        </is>
      </c>
      <c r="F1" s="1" t="inlineStr">
        <is>
          <t>Crecimiento_PIB_%</t>
        </is>
      </c>
    </row>
    <row r="2">
      <c r="A2" s="2" t="inlineStr">
        <is>
          <t>Italia</t>
        </is>
      </c>
      <c r="B2" s="2" t="n">
        <v>2019</v>
      </c>
      <c r="C2" s="3" t="n">
        <v>58210.25</v>
      </c>
      <c r="D2" s="4" t="n">
        <v>7.03</v>
      </c>
      <c r="E2" s="4" t="n">
        <v>9.6</v>
      </c>
      <c r="F2" s="4" t="n">
        <v>1.16</v>
      </c>
    </row>
    <row r="3">
      <c r="A3" s="2" t="inlineStr">
        <is>
          <t>Italia</t>
        </is>
      </c>
      <c r="B3" s="2" t="n">
        <v>2020</v>
      </c>
      <c r="C3" s="3" t="n">
        <v>52220.95</v>
      </c>
      <c r="D3" s="4" t="n">
        <v>9.59</v>
      </c>
      <c r="E3" s="4" t="n">
        <v>16.26</v>
      </c>
      <c r="F3" s="4" t="n">
        <v>0.02</v>
      </c>
    </row>
    <row r="4">
      <c r="A4" s="2" t="inlineStr">
        <is>
          <t>Italia</t>
        </is>
      </c>
      <c r="B4" s="2" t="n">
        <v>2021</v>
      </c>
      <c r="C4" s="3" t="n">
        <v>28048.06</v>
      </c>
      <c r="D4" s="4" t="n">
        <v>2</v>
      </c>
      <c r="E4" s="4" t="n">
        <v>10.67</v>
      </c>
      <c r="F4" s="4" t="n">
        <v>4.99</v>
      </c>
    </row>
    <row r="5">
      <c r="A5" s="2" t="inlineStr">
        <is>
          <t>Italia</t>
        </is>
      </c>
      <c r="B5" s="2" t="n">
        <v>2022</v>
      </c>
      <c r="C5" s="3" t="n">
        <v>27340.35</v>
      </c>
      <c r="D5" s="4" t="n">
        <v>5</v>
      </c>
      <c r="E5" s="4" t="n">
        <v>11.49</v>
      </c>
      <c r="F5" s="4" t="n">
        <v>4.19</v>
      </c>
    </row>
    <row r="6">
      <c r="A6" s="2" t="inlineStr">
        <is>
          <t>Italia</t>
        </is>
      </c>
      <c r="B6" s="2" t="n">
        <v>2023</v>
      </c>
      <c r="C6" s="3" t="n">
        <v>29902.32</v>
      </c>
      <c r="D6" s="4" t="n">
        <v>7.45</v>
      </c>
      <c r="E6" s="4" t="n">
        <v>13.28</v>
      </c>
      <c r="F6" s="4" t="n">
        <v>-1.24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5" customWidth="1" min="5" max="5"/>
    <col width="21" customWidth="1" min="6" max="6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PIB_per_capita_€</t>
        </is>
      </c>
      <c r="D1" s="1" t="inlineStr">
        <is>
          <t>Inflación_%</t>
        </is>
      </c>
      <c r="E1" s="1" t="inlineStr">
        <is>
          <t>Desempleo_%</t>
        </is>
      </c>
      <c r="F1" s="1" t="inlineStr">
        <is>
          <t>Crecimiento_PIB_%</t>
        </is>
      </c>
    </row>
    <row r="2">
      <c r="A2" s="2" t="inlineStr">
        <is>
          <t>Portugal</t>
        </is>
      </c>
      <c r="B2" s="2" t="n">
        <v>2019</v>
      </c>
      <c r="C2" s="3" t="n">
        <v>31813.17</v>
      </c>
      <c r="D2" s="4" t="n">
        <v>1.82</v>
      </c>
      <c r="E2" s="4" t="n">
        <v>12.57</v>
      </c>
      <c r="F2" s="4" t="n">
        <v>0.62</v>
      </c>
    </row>
    <row r="3">
      <c r="A3" s="2" t="inlineStr">
        <is>
          <t>Portugal</t>
        </is>
      </c>
      <c r="B3" s="2" t="n">
        <v>2020</v>
      </c>
      <c r="C3" s="3" t="n">
        <v>50619.34</v>
      </c>
      <c r="D3" s="4" t="n">
        <v>9.65</v>
      </c>
      <c r="E3" s="4" t="n">
        <v>6.78</v>
      </c>
      <c r="F3" s="4" t="n">
        <v>3.76</v>
      </c>
    </row>
    <row r="4">
      <c r="A4" s="2" t="inlineStr">
        <is>
          <t>Portugal</t>
        </is>
      </c>
      <c r="B4" s="2" t="n">
        <v>2021</v>
      </c>
      <c r="C4" s="3" t="n">
        <v>35978.78</v>
      </c>
      <c r="D4" s="4" t="n">
        <v>2.1</v>
      </c>
      <c r="E4" s="4" t="n">
        <v>4.99</v>
      </c>
      <c r="F4" s="4" t="n">
        <v>-1.76</v>
      </c>
    </row>
    <row r="5">
      <c r="A5" s="2" t="inlineStr">
        <is>
          <t>Portugal</t>
        </is>
      </c>
      <c r="B5" s="2" t="n">
        <v>2022</v>
      </c>
      <c r="C5" s="3" t="n">
        <v>42802.04</v>
      </c>
      <c r="D5" s="4" t="n">
        <v>-0.07000000000000001</v>
      </c>
      <c r="E5" s="4" t="n">
        <v>10.04</v>
      </c>
      <c r="F5" s="4" t="n">
        <v>-7.02</v>
      </c>
    </row>
    <row r="6">
      <c r="A6" s="2" t="inlineStr">
        <is>
          <t>Portugal</t>
        </is>
      </c>
      <c r="B6" s="2" t="n">
        <v>2023</v>
      </c>
      <c r="C6" s="3" t="n">
        <v>32187.79</v>
      </c>
      <c r="D6" s="4" t="n">
        <v>3.97</v>
      </c>
      <c r="E6" s="4" t="n">
        <v>3.41</v>
      </c>
      <c r="F6" s="4" t="n">
        <v>2.41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5" customWidth="1" min="5" max="5"/>
    <col width="21" customWidth="1" min="6" max="6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PIB_per_capita_€</t>
        </is>
      </c>
      <c r="D1" s="1" t="inlineStr">
        <is>
          <t>Inflación_%</t>
        </is>
      </c>
      <c r="E1" s="1" t="inlineStr">
        <is>
          <t>Desempleo_%</t>
        </is>
      </c>
      <c r="F1" s="1" t="inlineStr">
        <is>
          <t>Crecimiento_PIB_%</t>
        </is>
      </c>
    </row>
    <row r="2">
      <c r="A2" s="2" t="inlineStr">
        <is>
          <t>Grecia</t>
        </is>
      </c>
      <c r="B2" s="2" t="n">
        <v>2019</v>
      </c>
      <c r="C2" s="3" t="n">
        <v>33716.56</v>
      </c>
      <c r="D2" s="4" t="n">
        <v>2.13</v>
      </c>
      <c r="E2" s="4" t="n">
        <v>14.31</v>
      </c>
      <c r="F2" s="4" t="n">
        <v>5.34</v>
      </c>
    </row>
    <row r="3">
      <c r="A3" s="2" t="inlineStr">
        <is>
          <t>Grecia</t>
        </is>
      </c>
      <c r="B3" s="2" t="n">
        <v>2020</v>
      </c>
      <c r="C3" s="3" t="n">
        <v>48110.36</v>
      </c>
      <c r="D3" s="4" t="n">
        <v>8.52</v>
      </c>
      <c r="E3" s="4" t="n">
        <v>11.49</v>
      </c>
      <c r="F3" s="4" t="n">
        <v>3.4</v>
      </c>
    </row>
    <row r="4">
      <c r="A4" s="2" t="inlineStr">
        <is>
          <t>Grecia</t>
        </is>
      </c>
      <c r="B4" s="2" t="n">
        <v>2021</v>
      </c>
      <c r="C4" s="3" t="n">
        <v>48800.67</v>
      </c>
      <c r="D4" s="4" t="n">
        <v>5.16</v>
      </c>
      <c r="E4" s="4" t="n">
        <v>8.16</v>
      </c>
      <c r="F4" s="4" t="n">
        <v>-3.8</v>
      </c>
    </row>
    <row r="5">
      <c r="A5" s="2" t="inlineStr">
        <is>
          <t>Grecia</t>
        </is>
      </c>
      <c r="B5" s="2" t="n">
        <v>2022</v>
      </c>
      <c r="C5" s="3" t="n">
        <v>42934.75</v>
      </c>
      <c r="D5" s="4" t="n">
        <v>3.98</v>
      </c>
      <c r="E5" s="4" t="n">
        <v>14.36</v>
      </c>
      <c r="F5" s="4" t="n">
        <v>5.95</v>
      </c>
    </row>
    <row r="6">
      <c r="A6" s="2" t="inlineStr">
        <is>
          <t>Grecia</t>
        </is>
      </c>
      <c r="B6" s="2" t="n">
        <v>2023</v>
      </c>
      <c r="C6" s="3" t="n">
        <v>38404</v>
      </c>
      <c r="D6" s="4" t="n">
        <v>8.57</v>
      </c>
      <c r="E6" s="4" t="n">
        <v>12.99</v>
      </c>
      <c r="F6" s="4" t="n">
        <v>2.29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5" customWidth="1" min="4" max="4"/>
    <col width="15" customWidth="1" min="5" max="5"/>
    <col width="21" customWidth="1" min="6" max="6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PIB_per_capita_€</t>
        </is>
      </c>
      <c r="D1" s="1" t="inlineStr">
        <is>
          <t>Inflación_%</t>
        </is>
      </c>
      <c r="E1" s="1" t="inlineStr">
        <is>
          <t>Desempleo_%</t>
        </is>
      </c>
      <c r="F1" s="1" t="inlineStr">
        <is>
          <t>Crecimiento_PIB_%</t>
        </is>
      </c>
    </row>
    <row r="2">
      <c r="A2" s="2" t="inlineStr">
        <is>
          <t>Países Bajos</t>
        </is>
      </c>
      <c r="B2" s="2" t="n">
        <v>2019</v>
      </c>
      <c r="C2" s="3" t="n">
        <v>48265.4</v>
      </c>
      <c r="D2" s="4" t="n">
        <v>6.47</v>
      </c>
      <c r="E2" s="4" t="n">
        <v>11.41</v>
      </c>
      <c r="F2" s="4" t="n">
        <v>-7.18</v>
      </c>
    </row>
    <row r="3">
      <c r="A3" s="2" t="inlineStr">
        <is>
          <t>Países Bajos</t>
        </is>
      </c>
      <c r="B3" s="2" t="n">
        <v>2020</v>
      </c>
      <c r="C3" s="3" t="n">
        <v>33188.99</v>
      </c>
      <c r="D3" s="4" t="n">
        <v>2.71</v>
      </c>
      <c r="E3" s="4" t="n">
        <v>5</v>
      </c>
      <c r="F3" s="4" t="n">
        <v>-0.83</v>
      </c>
    </row>
    <row r="4">
      <c r="A4" s="2" t="inlineStr">
        <is>
          <t>Países Bajos</t>
        </is>
      </c>
      <c r="B4" s="2" t="n">
        <v>2021</v>
      </c>
      <c r="C4" s="3" t="n">
        <v>37404.2</v>
      </c>
      <c r="D4" s="4" t="n">
        <v>5.3</v>
      </c>
      <c r="E4" s="4" t="n">
        <v>10.77</v>
      </c>
      <c r="F4" s="4" t="n">
        <v>-2.09</v>
      </c>
    </row>
    <row r="5">
      <c r="A5" s="2" t="inlineStr">
        <is>
          <t>Países Bajos</t>
        </is>
      </c>
      <c r="B5" s="2" t="n">
        <v>2022</v>
      </c>
      <c r="C5" s="3" t="n">
        <v>31514.55</v>
      </c>
      <c r="D5" s="4" t="n">
        <v>6.58</v>
      </c>
      <c r="E5" s="4" t="n">
        <v>11.02</v>
      </c>
      <c r="F5" s="4" t="n">
        <v>-4.97</v>
      </c>
    </row>
    <row r="6">
      <c r="A6" s="2" t="inlineStr">
        <is>
          <t>Países Bajos</t>
        </is>
      </c>
      <c r="B6" s="2" t="n">
        <v>2023</v>
      </c>
      <c r="C6" s="3" t="n">
        <v>40302.55</v>
      </c>
      <c r="D6" s="4" t="n">
        <v>9.140000000000001</v>
      </c>
      <c r="E6" s="4" t="n">
        <v>15.27</v>
      </c>
      <c r="F6" s="4" t="n">
        <v>-0.75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5" customWidth="1" min="5" max="5"/>
    <col width="21" customWidth="1" min="6" max="6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PIB_per_capita_€</t>
        </is>
      </c>
      <c r="D1" s="1" t="inlineStr">
        <is>
          <t>Inflación_%</t>
        </is>
      </c>
      <c r="E1" s="1" t="inlineStr">
        <is>
          <t>Desempleo_%</t>
        </is>
      </c>
      <c r="F1" s="1" t="inlineStr">
        <is>
          <t>Crecimiento_PIB_%</t>
        </is>
      </c>
    </row>
    <row r="2">
      <c r="A2" s="2" t="inlineStr">
        <is>
          <t>Suecia</t>
        </is>
      </c>
      <c r="B2" s="2" t="n">
        <v>2019</v>
      </c>
      <c r="C2" s="3" t="n">
        <v>42634.04</v>
      </c>
      <c r="D2" s="4" t="n">
        <v>3.55</v>
      </c>
      <c r="E2" s="4" t="n">
        <v>16.13</v>
      </c>
      <c r="F2" s="4" t="n">
        <v>1.03</v>
      </c>
    </row>
    <row r="3">
      <c r="A3" s="2" t="inlineStr">
        <is>
          <t>Suecia</t>
        </is>
      </c>
      <c r="B3" s="2" t="n">
        <v>2020</v>
      </c>
      <c r="C3" s="3" t="n">
        <v>59833.03</v>
      </c>
      <c r="D3" s="4" t="n">
        <v>8.699999999999999</v>
      </c>
      <c r="E3" s="4" t="n">
        <v>9.470000000000001</v>
      </c>
      <c r="F3" s="4" t="n">
        <v>-3.86</v>
      </c>
    </row>
    <row r="4">
      <c r="A4" s="2" t="inlineStr">
        <is>
          <t>Suecia</t>
        </is>
      </c>
      <c r="B4" s="2" t="n">
        <v>2021</v>
      </c>
      <c r="C4" s="3" t="n">
        <v>43260.41</v>
      </c>
      <c r="D4" s="4" t="n">
        <v>6.07</v>
      </c>
      <c r="E4" s="4" t="n">
        <v>10.95</v>
      </c>
      <c r="F4" s="4" t="n">
        <v>1.73</v>
      </c>
    </row>
    <row r="5">
      <c r="A5" s="2" t="inlineStr">
        <is>
          <t>Suecia</t>
        </is>
      </c>
      <c r="B5" s="2" t="n">
        <v>2022</v>
      </c>
      <c r="C5" s="3" t="n">
        <v>50017.43</v>
      </c>
      <c r="D5" s="4" t="n">
        <v>2.53</v>
      </c>
      <c r="E5" s="4" t="n">
        <v>8.75</v>
      </c>
      <c r="F5" s="4" t="n">
        <v>-6.13</v>
      </c>
    </row>
    <row r="6">
      <c r="A6" s="2" t="inlineStr">
        <is>
          <t>Suecia</t>
        </is>
      </c>
      <c r="B6" s="2" t="n">
        <v>2023</v>
      </c>
      <c r="C6" s="3" t="n">
        <v>29420.06</v>
      </c>
      <c r="D6" s="4" t="n">
        <v>1.78</v>
      </c>
      <c r="E6" s="4" t="n">
        <v>11.18</v>
      </c>
      <c r="F6" s="4" t="n">
        <v>-6.94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5" customWidth="1" min="5" max="5"/>
    <col width="21" customWidth="1" min="6" max="6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PIB_per_capita_€</t>
        </is>
      </c>
      <c r="D1" s="1" t="inlineStr">
        <is>
          <t>Inflación_%</t>
        </is>
      </c>
      <c r="E1" s="1" t="inlineStr">
        <is>
          <t>Desempleo_%</t>
        </is>
      </c>
      <c r="F1" s="1" t="inlineStr">
        <is>
          <t>Crecimiento_PIB_%</t>
        </is>
      </c>
    </row>
    <row r="2">
      <c r="A2" s="2" t="inlineStr">
        <is>
          <t>Polonia</t>
        </is>
      </c>
      <c r="B2" s="2" t="n">
        <v>2019</v>
      </c>
      <c r="C2" s="3" t="n">
        <v>30669.03</v>
      </c>
      <c r="D2" s="4" t="n">
        <v>-0.13</v>
      </c>
      <c r="E2" s="4" t="n">
        <v>6.01</v>
      </c>
      <c r="F2" s="4" t="n">
        <v>3.95</v>
      </c>
    </row>
    <row r="3">
      <c r="A3" s="2" t="inlineStr">
        <is>
          <t>Polonia</t>
        </is>
      </c>
      <c r="B3" s="2" t="n">
        <v>2020</v>
      </c>
      <c r="C3" s="3" t="n">
        <v>49873.54</v>
      </c>
      <c r="D3" s="4" t="n">
        <v>1.41</v>
      </c>
      <c r="E3" s="4" t="n">
        <v>16.1</v>
      </c>
      <c r="F3" s="4" t="n">
        <v>-5.78</v>
      </c>
    </row>
    <row r="4">
      <c r="A4" s="2" t="inlineStr">
        <is>
          <t>Polonia</t>
        </is>
      </c>
      <c r="B4" s="2" t="n">
        <v>2021</v>
      </c>
      <c r="C4" s="3" t="n">
        <v>38214.89</v>
      </c>
      <c r="D4" s="4" t="n">
        <v>-0.44</v>
      </c>
      <c r="E4" s="4" t="n">
        <v>15.67</v>
      </c>
      <c r="F4" s="4" t="n">
        <v>1.55</v>
      </c>
    </row>
    <row r="5">
      <c r="A5" s="2" t="inlineStr">
        <is>
          <t>Polonia</t>
        </is>
      </c>
      <c r="B5" s="2" t="n">
        <v>2022</v>
      </c>
      <c r="C5" s="3" t="n">
        <v>41651.9</v>
      </c>
      <c r="D5" s="4" t="n">
        <v>3.94</v>
      </c>
      <c r="E5" s="4" t="n">
        <v>7.38</v>
      </c>
      <c r="F5" s="4" t="n">
        <v>2.14</v>
      </c>
    </row>
    <row r="6">
      <c r="A6" s="2" t="inlineStr">
        <is>
          <t>Polonia</t>
        </is>
      </c>
      <c r="B6" s="2" t="n">
        <v>2023</v>
      </c>
      <c r="C6" s="3" t="n">
        <v>55333.15</v>
      </c>
      <c r="D6" s="4" t="n">
        <v>7.05</v>
      </c>
      <c r="E6" s="4" t="n">
        <v>10.75</v>
      </c>
      <c r="F6" s="4" t="n">
        <v>-1.69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5" customWidth="1" min="5" max="5"/>
    <col width="21" customWidth="1" min="6" max="6"/>
  </cols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PIB_per_capita_€</t>
        </is>
      </c>
      <c r="D1" s="1" t="inlineStr">
        <is>
          <t>Inflación_%</t>
        </is>
      </c>
      <c r="E1" s="1" t="inlineStr">
        <is>
          <t>Desempleo_%</t>
        </is>
      </c>
      <c r="F1" s="1" t="inlineStr">
        <is>
          <t>Crecimiento_PIB_%</t>
        </is>
      </c>
    </row>
    <row r="2">
      <c r="A2" s="2" t="inlineStr">
        <is>
          <t>Irlanda</t>
        </is>
      </c>
      <c r="B2" s="2" t="n">
        <v>2019</v>
      </c>
      <c r="C2" s="3" t="n">
        <v>26936.62</v>
      </c>
      <c r="D2" s="4" t="n">
        <v>5.64</v>
      </c>
      <c r="E2" s="4" t="n">
        <v>6.06</v>
      </c>
      <c r="F2" s="4" t="n">
        <v>-3.4</v>
      </c>
    </row>
    <row r="3">
      <c r="A3" s="2" t="inlineStr">
        <is>
          <t>Irlanda</t>
        </is>
      </c>
      <c r="B3" s="2" t="n">
        <v>2020</v>
      </c>
      <c r="C3" s="3" t="n">
        <v>31825.9</v>
      </c>
      <c r="D3" s="4" t="n">
        <v>3.33</v>
      </c>
      <c r="E3" s="4" t="n">
        <v>7.44</v>
      </c>
      <c r="F3" s="4" t="n">
        <v>2.49</v>
      </c>
    </row>
    <row r="4">
      <c r="A4" s="2" t="inlineStr">
        <is>
          <t>Irlanda</t>
        </is>
      </c>
      <c r="B4" s="2" t="n">
        <v>2021</v>
      </c>
      <c r="C4" s="3" t="n">
        <v>47988.58</v>
      </c>
      <c r="D4" s="4" t="n">
        <v>2.06</v>
      </c>
      <c r="E4" s="4" t="n">
        <v>10.41</v>
      </c>
      <c r="F4" s="4" t="n">
        <v>3.65</v>
      </c>
    </row>
    <row r="5">
      <c r="A5" s="2" t="inlineStr">
        <is>
          <t>Irlanda</t>
        </is>
      </c>
      <c r="B5" s="2" t="n">
        <v>2022</v>
      </c>
      <c r="C5" s="3" t="n">
        <v>57028.02</v>
      </c>
      <c r="D5" s="4" t="n">
        <v>4.38</v>
      </c>
      <c r="E5" s="4" t="n">
        <v>13.79</v>
      </c>
      <c r="F5" s="4" t="n">
        <v>-6.42</v>
      </c>
    </row>
    <row r="6">
      <c r="A6" s="2" t="inlineStr">
        <is>
          <t>Irlanda</t>
        </is>
      </c>
      <c r="B6" s="2" t="n">
        <v>2023</v>
      </c>
      <c r="C6" s="3" t="n">
        <v>41998.02</v>
      </c>
      <c r="D6" s="4" t="n">
        <v>-0.2</v>
      </c>
      <c r="E6" s="4" t="n">
        <v>5.63</v>
      </c>
      <c r="F6" s="4" t="n">
        <v>0.65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30" customWidth="1" min="3" max="3"/>
    <col width="30" customWidth="1" min="4" max="4"/>
    <col width="32" customWidth="1" min="5" max="5"/>
    <col width="32" customWidth="1" min="6" max="6"/>
  </cols>
  <sheetData>
    <row r="1" ht="30" customHeight="1">
      <c r="A1" s="5" t="inlineStr">
        <is>
          <t>INFORME MACROECONÓMICO EUROPEO — DATOS CONSOLIDADOS</t>
        </is>
      </c>
    </row>
    <row r="2"/>
    <row r="3">
      <c r="A3" s="1" t="inlineStr">
        <is>
          <t>País</t>
        </is>
      </c>
      <c r="B3" s="1" t="inlineStr">
        <is>
          <t>Año</t>
        </is>
      </c>
      <c r="C3" s="1" t="inlineStr">
        <is>
          <t>PIB_per_capita_€</t>
        </is>
      </c>
      <c r="D3" s="1" t="inlineStr">
        <is>
          <t>Inflación_%</t>
        </is>
      </c>
      <c r="E3" s="1" t="inlineStr">
        <is>
          <t>Desempleo_%</t>
        </is>
      </c>
      <c r="F3" s="1" t="inlineStr">
        <is>
          <t>Crecimiento_PIB_%</t>
        </is>
      </c>
    </row>
    <row r="4">
      <c r="A4" s="2" t="inlineStr">
        <is>
          <t>Alemania</t>
        </is>
      </c>
      <c r="B4" s="2" t="n">
        <v>2019</v>
      </c>
      <c r="C4" s="3" t="n">
        <v>56058.77</v>
      </c>
      <c r="D4" s="4" t="n">
        <v>0.57</v>
      </c>
      <c r="E4" s="4" t="n">
        <v>11.64</v>
      </c>
      <c r="F4" s="4" t="n">
        <v>-4.29</v>
      </c>
    </row>
    <row r="5">
      <c r="A5" s="2" t="inlineStr">
        <is>
          <t>Alemania</t>
        </is>
      </c>
      <c r="B5" s="2" t="n">
        <v>2020</v>
      </c>
      <c r="C5" s="3" t="n">
        <v>53796.31</v>
      </c>
      <c r="D5" s="4" t="n">
        <v>9.449999999999999</v>
      </c>
      <c r="E5" s="4" t="n">
        <v>15.09</v>
      </c>
      <c r="F5" s="4" t="n">
        <v>-6.15</v>
      </c>
    </row>
    <row r="6">
      <c r="A6" s="2" t="inlineStr">
        <is>
          <t>Alemania</t>
        </is>
      </c>
      <c r="B6" s="2" t="n">
        <v>2021</v>
      </c>
      <c r="C6" s="3" t="n">
        <v>43047.33</v>
      </c>
      <c r="D6" s="4" t="n">
        <v>2.02</v>
      </c>
      <c r="E6" s="4" t="n">
        <v>6.23</v>
      </c>
      <c r="F6" s="4" t="n">
        <v>-6.79</v>
      </c>
    </row>
    <row r="7">
      <c r="A7" s="2" t="inlineStr">
        <is>
          <t>Alemania</t>
        </is>
      </c>
      <c r="B7" s="2" t="n">
        <v>2022</v>
      </c>
      <c r="C7" s="3" t="n">
        <v>51480.44</v>
      </c>
      <c r="D7" s="4" t="n">
        <v>0.41</v>
      </c>
      <c r="E7" s="4" t="n">
        <v>16.5</v>
      </c>
      <c r="F7" s="4" t="n">
        <v>-1.21</v>
      </c>
    </row>
    <row r="8">
      <c r="A8" s="2" t="inlineStr">
        <is>
          <t>Alemania</t>
        </is>
      </c>
      <c r="B8" s="2" t="n">
        <v>2023</v>
      </c>
      <c r="C8" s="3" t="n">
        <v>30357.03</v>
      </c>
      <c r="D8" s="4" t="n">
        <v>3.71</v>
      </c>
      <c r="E8" s="4" t="n">
        <v>3.5</v>
      </c>
      <c r="F8" s="4" t="n">
        <v>3.71</v>
      </c>
    </row>
    <row r="9">
      <c r="A9" s="2" t="inlineStr">
        <is>
          <t>España</t>
        </is>
      </c>
      <c r="B9" s="2" t="n">
        <v>2019</v>
      </c>
      <c r="C9" s="3" t="n">
        <v>39564.14</v>
      </c>
      <c r="D9" s="4" t="n">
        <v>5.8</v>
      </c>
      <c r="E9" s="4" t="n">
        <v>16.32</v>
      </c>
      <c r="F9" s="4" t="n">
        <v>0.46</v>
      </c>
    </row>
    <row r="10">
      <c r="A10" s="2" t="inlineStr">
        <is>
          <t>España</t>
        </is>
      </c>
      <c r="B10" s="2" t="n">
        <v>2020</v>
      </c>
      <c r="C10" s="3" t="n">
        <v>38385.14</v>
      </c>
      <c r="D10" s="4" t="n">
        <v>6.54</v>
      </c>
      <c r="E10" s="4" t="n">
        <v>11.59</v>
      </c>
      <c r="F10" s="4" t="n">
        <v>-7.77</v>
      </c>
    </row>
    <row r="11">
      <c r="A11" s="2" t="inlineStr">
        <is>
          <t>España</t>
        </is>
      </c>
      <c r="B11" s="2" t="n">
        <v>2021</v>
      </c>
      <c r="C11" s="3" t="n">
        <v>49929.16</v>
      </c>
      <c r="D11" s="4" t="n">
        <v>-0.15</v>
      </c>
      <c r="E11" s="4" t="n">
        <v>15.31</v>
      </c>
      <c r="F11" s="4" t="n">
        <v>4.17</v>
      </c>
    </row>
    <row r="12">
      <c r="A12" s="2" t="inlineStr">
        <is>
          <t>España</t>
        </is>
      </c>
      <c r="B12" s="2" t="n">
        <v>2022</v>
      </c>
      <c r="C12" s="3" t="n">
        <v>40325.34</v>
      </c>
      <c r="D12" s="4" t="n">
        <v>8.06</v>
      </c>
      <c r="E12" s="4" t="n">
        <v>11.97</v>
      </c>
      <c r="F12" s="4" t="n">
        <v>1.28</v>
      </c>
    </row>
    <row r="13">
      <c r="A13" s="2" t="inlineStr">
        <is>
          <t>España</t>
        </is>
      </c>
      <c r="B13" s="2" t="n">
        <v>2023</v>
      </c>
      <c r="C13" s="3" t="n">
        <v>58328.86</v>
      </c>
      <c r="D13" s="4" t="n">
        <v>6.58</v>
      </c>
      <c r="E13" s="4" t="n">
        <v>17.77</v>
      </c>
      <c r="F13" s="4" t="n">
        <v>-1.8</v>
      </c>
    </row>
    <row r="14">
      <c r="A14" s="2" t="inlineStr">
        <is>
          <t>Francia</t>
        </is>
      </c>
      <c r="B14" s="2" t="n">
        <v>2019</v>
      </c>
      <c r="C14" s="3" t="n">
        <v>47563.62</v>
      </c>
      <c r="D14" s="4" t="n">
        <v>0.67</v>
      </c>
      <c r="E14" s="4" t="n">
        <v>11.61</v>
      </c>
      <c r="F14" s="4" t="n">
        <v>-5.81</v>
      </c>
    </row>
    <row r="15">
      <c r="A15" s="2" t="inlineStr">
        <is>
          <t>Francia</t>
        </is>
      </c>
      <c r="B15" s="2" t="n">
        <v>2020</v>
      </c>
      <c r="C15" s="3" t="n">
        <v>56511.45</v>
      </c>
      <c r="D15" s="4" t="n">
        <v>0.36</v>
      </c>
      <c r="E15" s="4" t="n">
        <v>17.11</v>
      </c>
      <c r="F15" s="4" t="n">
        <v>-6.41</v>
      </c>
    </row>
    <row r="16">
      <c r="A16" s="2" t="inlineStr">
        <is>
          <t>Francia</t>
        </is>
      </c>
      <c r="B16" s="2" t="n">
        <v>2021</v>
      </c>
      <c r="C16" s="3" t="n">
        <v>26386.02</v>
      </c>
      <c r="D16" s="4" t="n">
        <v>0.25</v>
      </c>
      <c r="E16" s="4" t="n">
        <v>16.75</v>
      </c>
      <c r="F16" s="4" t="n">
        <v>2.42</v>
      </c>
    </row>
    <row r="17">
      <c r="A17" s="2" t="inlineStr">
        <is>
          <t>Francia</t>
        </is>
      </c>
      <c r="B17" s="2" t="n">
        <v>2022</v>
      </c>
      <c r="C17" s="3" t="n">
        <v>53064.37</v>
      </c>
      <c r="D17" s="4" t="n">
        <v>6.56</v>
      </c>
      <c r="E17" s="4" t="n">
        <v>13.43</v>
      </c>
      <c r="F17" s="4" t="n">
        <v>-3.19</v>
      </c>
    </row>
    <row r="18">
      <c r="A18" s="2" t="inlineStr">
        <is>
          <t>Francia</t>
        </is>
      </c>
      <c r="B18" s="2" t="n">
        <v>2023</v>
      </c>
      <c r="C18" s="3" t="n">
        <v>25061.87</v>
      </c>
      <c r="D18" s="4" t="n">
        <v>7.45</v>
      </c>
      <c r="E18" s="4" t="n">
        <v>11.21</v>
      </c>
      <c r="F18" s="4" t="n">
        <v>-7.1</v>
      </c>
    </row>
    <row r="19">
      <c r="A19" s="2" t="inlineStr">
        <is>
          <t>Grecia</t>
        </is>
      </c>
      <c r="B19" s="2" t="n">
        <v>2019</v>
      </c>
      <c r="C19" s="3" t="n">
        <v>33716.56</v>
      </c>
      <c r="D19" s="4" t="n">
        <v>2.13</v>
      </c>
      <c r="E19" s="4" t="n">
        <v>14.31</v>
      </c>
      <c r="F19" s="4" t="n">
        <v>5.34</v>
      </c>
    </row>
    <row r="20">
      <c r="A20" s="2" t="inlineStr">
        <is>
          <t>Grecia</t>
        </is>
      </c>
      <c r="B20" s="2" t="n">
        <v>2020</v>
      </c>
      <c r="C20" s="3" t="n">
        <v>48110.36</v>
      </c>
      <c r="D20" s="4" t="n">
        <v>8.52</v>
      </c>
      <c r="E20" s="4" t="n">
        <v>11.49</v>
      </c>
      <c r="F20" s="4" t="n">
        <v>3.4</v>
      </c>
    </row>
    <row r="21">
      <c r="A21" s="2" t="inlineStr">
        <is>
          <t>Grecia</t>
        </is>
      </c>
      <c r="B21" s="2" t="n">
        <v>2021</v>
      </c>
      <c r="C21" s="3" t="n">
        <v>48800.67</v>
      </c>
      <c r="D21" s="4" t="n">
        <v>5.16</v>
      </c>
      <c r="E21" s="4" t="n">
        <v>8.16</v>
      </c>
      <c r="F21" s="4" t="n">
        <v>-3.8</v>
      </c>
    </row>
    <row r="22">
      <c r="A22" s="2" t="inlineStr">
        <is>
          <t>Grecia</t>
        </is>
      </c>
      <c r="B22" s="2" t="n">
        <v>2022</v>
      </c>
      <c r="C22" s="3" t="n">
        <v>42934.75</v>
      </c>
      <c r="D22" s="4" t="n">
        <v>3.98</v>
      </c>
      <c r="E22" s="4" t="n">
        <v>14.36</v>
      </c>
      <c r="F22" s="4" t="n">
        <v>5.95</v>
      </c>
    </row>
    <row r="23">
      <c r="A23" s="2" t="inlineStr">
        <is>
          <t>Grecia</t>
        </is>
      </c>
      <c r="B23" s="2" t="n">
        <v>2023</v>
      </c>
      <c r="C23" s="3" t="n">
        <v>38404</v>
      </c>
      <c r="D23" s="4" t="n">
        <v>8.57</v>
      </c>
      <c r="E23" s="4" t="n">
        <v>12.99</v>
      </c>
      <c r="F23" s="4" t="n">
        <v>2.29</v>
      </c>
    </row>
    <row r="24">
      <c r="A24" s="2" t="inlineStr">
        <is>
          <t>Irlanda</t>
        </is>
      </c>
      <c r="B24" s="2" t="n">
        <v>2019</v>
      </c>
      <c r="C24" s="3" t="n">
        <v>26936.62</v>
      </c>
      <c r="D24" s="4" t="n">
        <v>5.64</v>
      </c>
      <c r="E24" s="4" t="n">
        <v>6.06</v>
      </c>
      <c r="F24" s="4" t="n">
        <v>-3.4</v>
      </c>
    </row>
    <row r="25">
      <c r="A25" s="2" t="inlineStr">
        <is>
          <t>Irlanda</t>
        </is>
      </c>
      <c r="B25" s="2" t="n">
        <v>2020</v>
      </c>
      <c r="C25" s="3" t="n">
        <v>31825.9</v>
      </c>
      <c r="D25" s="4" t="n">
        <v>3.33</v>
      </c>
      <c r="E25" s="4" t="n">
        <v>7.44</v>
      </c>
      <c r="F25" s="4" t="n">
        <v>2.49</v>
      </c>
    </row>
    <row r="26">
      <c r="A26" s="2" t="inlineStr">
        <is>
          <t>Irlanda</t>
        </is>
      </c>
      <c r="B26" s="2" t="n">
        <v>2021</v>
      </c>
      <c r="C26" s="3" t="n">
        <v>47988.58</v>
      </c>
      <c r="D26" s="4" t="n">
        <v>2.06</v>
      </c>
      <c r="E26" s="4" t="n">
        <v>10.41</v>
      </c>
      <c r="F26" s="4" t="n">
        <v>3.65</v>
      </c>
    </row>
    <row r="27">
      <c r="A27" s="2" t="inlineStr">
        <is>
          <t>Irlanda</t>
        </is>
      </c>
      <c r="B27" s="2" t="n">
        <v>2022</v>
      </c>
      <c r="C27" s="3" t="n">
        <v>57028.02</v>
      </c>
      <c r="D27" s="4" t="n">
        <v>4.38</v>
      </c>
      <c r="E27" s="4" t="n">
        <v>13.79</v>
      </c>
      <c r="F27" s="4" t="n">
        <v>-6.42</v>
      </c>
    </row>
    <row r="28">
      <c r="A28" s="2" t="inlineStr">
        <is>
          <t>Irlanda</t>
        </is>
      </c>
      <c r="B28" s="2" t="n">
        <v>2023</v>
      </c>
      <c r="C28" s="3" t="n">
        <v>41998.02</v>
      </c>
      <c r="D28" s="4" t="n">
        <v>-0.2</v>
      </c>
      <c r="E28" s="4" t="n">
        <v>5.63</v>
      </c>
      <c r="F28" s="4" t="n">
        <v>0.65</v>
      </c>
    </row>
    <row r="29">
      <c r="A29" s="2" t="inlineStr">
        <is>
          <t>Italia</t>
        </is>
      </c>
      <c r="B29" s="2" t="n">
        <v>2019</v>
      </c>
      <c r="C29" s="3" t="n">
        <v>58210.25</v>
      </c>
      <c r="D29" s="4" t="n">
        <v>7.03</v>
      </c>
      <c r="E29" s="4" t="n">
        <v>9.6</v>
      </c>
      <c r="F29" s="4" t="n">
        <v>1.16</v>
      </c>
    </row>
    <row r="30">
      <c r="A30" s="2" t="inlineStr">
        <is>
          <t>Italia</t>
        </is>
      </c>
      <c r="B30" s="2" t="n">
        <v>2020</v>
      </c>
      <c r="C30" s="3" t="n">
        <v>52220.95</v>
      </c>
      <c r="D30" s="4" t="n">
        <v>9.59</v>
      </c>
      <c r="E30" s="4" t="n">
        <v>16.26</v>
      </c>
      <c r="F30" s="4" t="n">
        <v>0.02</v>
      </c>
    </row>
    <row r="31">
      <c r="A31" s="2" t="inlineStr">
        <is>
          <t>Italia</t>
        </is>
      </c>
      <c r="B31" s="2" t="n">
        <v>2021</v>
      </c>
      <c r="C31" s="3" t="n">
        <v>28048.06</v>
      </c>
      <c r="D31" s="4" t="n">
        <v>2</v>
      </c>
      <c r="E31" s="4" t="n">
        <v>10.67</v>
      </c>
      <c r="F31" s="4" t="n">
        <v>4.99</v>
      </c>
    </row>
    <row r="32">
      <c r="A32" s="2" t="inlineStr">
        <is>
          <t>Italia</t>
        </is>
      </c>
      <c r="B32" s="2" t="n">
        <v>2022</v>
      </c>
      <c r="C32" s="3" t="n">
        <v>27340.35</v>
      </c>
      <c r="D32" s="4" t="n">
        <v>5</v>
      </c>
      <c r="E32" s="4" t="n">
        <v>11.49</v>
      </c>
      <c r="F32" s="4" t="n">
        <v>4.19</v>
      </c>
    </row>
    <row r="33">
      <c r="A33" s="2" t="inlineStr">
        <is>
          <t>Italia</t>
        </is>
      </c>
      <c r="B33" s="2" t="n">
        <v>2023</v>
      </c>
      <c r="C33" s="3" t="n">
        <v>29902.32</v>
      </c>
      <c r="D33" s="4" t="n">
        <v>7.45</v>
      </c>
      <c r="E33" s="4" t="n">
        <v>13.28</v>
      </c>
      <c r="F33" s="4" t="n">
        <v>-1.24</v>
      </c>
    </row>
    <row r="34">
      <c r="A34" s="2" t="inlineStr">
        <is>
          <t>Países Bajos</t>
        </is>
      </c>
      <c r="B34" s="2" t="n">
        <v>2019</v>
      </c>
      <c r="C34" s="3" t="n">
        <v>48265.4</v>
      </c>
      <c r="D34" s="4" t="n">
        <v>6.47</v>
      </c>
      <c r="E34" s="4" t="n">
        <v>11.41</v>
      </c>
      <c r="F34" s="4" t="n">
        <v>-7.18</v>
      </c>
    </row>
    <row r="35">
      <c r="A35" s="2" t="inlineStr">
        <is>
          <t>Países Bajos</t>
        </is>
      </c>
      <c r="B35" s="2" t="n">
        <v>2020</v>
      </c>
      <c r="C35" s="3" t="n">
        <v>33188.99</v>
      </c>
      <c r="D35" s="4" t="n">
        <v>2.71</v>
      </c>
      <c r="E35" s="4" t="n">
        <v>5</v>
      </c>
      <c r="F35" s="4" t="n">
        <v>-0.83</v>
      </c>
    </row>
    <row r="36">
      <c r="A36" s="2" t="inlineStr">
        <is>
          <t>Países Bajos</t>
        </is>
      </c>
      <c r="B36" s="2" t="n">
        <v>2021</v>
      </c>
      <c r="C36" s="3" t="n">
        <v>37404.2</v>
      </c>
      <c r="D36" s="4" t="n">
        <v>5.3</v>
      </c>
      <c r="E36" s="4" t="n">
        <v>10.77</v>
      </c>
      <c r="F36" s="4" t="n">
        <v>-2.09</v>
      </c>
    </row>
    <row r="37">
      <c r="A37" s="2" t="inlineStr">
        <is>
          <t>Países Bajos</t>
        </is>
      </c>
      <c r="B37" s="2" t="n">
        <v>2022</v>
      </c>
      <c r="C37" s="3" t="n">
        <v>31514.55</v>
      </c>
      <c r="D37" s="4" t="n">
        <v>6.58</v>
      </c>
      <c r="E37" s="4" t="n">
        <v>11.02</v>
      </c>
      <c r="F37" s="4" t="n">
        <v>-4.97</v>
      </c>
    </row>
    <row r="38">
      <c r="A38" s="2" t="inlineStr">
        <is>
          <t>Países Bajos</t>
        </is>
      </c>
      <c r="B38" s="2" t="n">
        <v>2023</v>
      </c>
      <c r="C38" s="3" t="n">
        <v>40302.55</v>
      </c>
      <c r="D38" s="4" t="n">
        <v>9.140000000000001</v>
      </c>
      <c r="E38" s="4" t="n">
        <v>15.27</v>
      </c>
      <c r="F38" s="4" t="n">
        <v>-0.75</v>
      </c>
    </row>
    <row r="39">
      <c r="A39" s="2" t="inlineStr">
        <is>
          <t>Polonia</t>
        </is>
      </c>
      <c r="B39" s="2" t="n">
        <v>2019</v>
      </c>
      <c r="C39" s="3" t="n">
        <v>30669.03</v>
      </c>
      <c r="D39" s="4" t="n">
        <v>-0.13</v>
      </c>
      <c r="E39" s="4" t="n">
        <v>6.01</v>
      </c>
      <c r="F39" s="4" t="n">
        <v>3.95</v>
      </c>
    </row>
    <row r="40">
      <c r="A40" s="2" t="inlineStr">
        <is>
          <t>Polonia</t>
        </is>
      </c>
      <c r="B40" s="2" t="n">
        <v>2020</v>
      </c>
      <c r="C40" s="3" t="n">
        <v>49873.54</v>
      </c>
      <c r="D40" s="4" t="n">
        <v>1.41</v>
      </c>
      <c r="E40" s="4" t="n">
        <v>16.1</v>
      </c>
      <c r="F40" s="4" t="n">
        <v>-5.78</v>
      </c>
    </row>
    <row r="41">
      <c r="A41" s="2" t="inlineStr">
        <is>
          <t>Polonia</t>
        </is>
      </c>
      <c r="B41" s="2" t="n">
        <v>2021</v>
      </c>
      <c r="C41" s="3" t="n">
        <v>38214.89</v>
      </c>
      <c r="D41" s="4" t="n">
        <v>-0.44</v>
      </c>
      <c r="E41" s="4" t="n">
        <v>15.67</v>
      </c>
      <c r="F41" s="4" t="n">
        <v>1.55</v>
      </c>
    </row>
    <row r="42">
      <c r="A42" s="2" t="inlineStr">
        <is>
          <t>Polonia</t>
        </is>
      </c>
      <c r="B42" s="2" t="n">
        <v>2022</v>
      </c>
      <c r="C42" s="3" t="n">
        <v>41651.9</v>
      </c>
      <c r="D42" s="4" t="n">
        <v>3.94</v>
      </c>
      <c r="E42" s="4" t="n">
        <v>7.38</v>
      </c>
      <c r="F42" s="4" t="n">
        <v>2.14</v>
      </c>
    </row>
    <row r="43">
      <c r="A43" s="2" t="inlineStr">
        <is>
          <t>Polonia</t>
        </is>
      </c>
      <c r="B43" s="2" t="n">
        <v>2023</v>
      </c>
      <c r="C43" s="3" t="n">
        <v>55333.15</v>
      </c>
      <c r="D43" s="4" t="n">
        <v>7.05</v>
      </c>
      <c r="E43" s="4" t="n">
        <v>10.75</v>
      </c>
      <c r="F43" s="4" t="n">
        <v>-1.69</v>
      </c>
    </row>
    <row r="44">
      <c r="A44" s="2" t="inlineStr">
        <is>
          <t>Portugal</t>
        </is>
      </c>
      <c r="B44" s="2" t="n">
        <v>2019</v>
      </c>
      <c r="C44" s="3" t="n">
        <v>31813.17</v>
      </c>
      <c r="D44" s="4" t="n">
        <v>1.82</v>
      </c>
      <c r="E44" s="4" t="n">
        <v>12.57</v>
      </c>
      <c r="F44" s="4" t="n">
        <v>0.62</v>
      </c>
    </row>
    <row r="45">
      <c r="A45" s="2" t="inlineStr">
        <is>
          <t>Portugal</t>
        </is>
      </c>
      <c r="B45" s="2" t="n">
        <v>2020</v>
      </c>
      <c r="C45" s="3" t="n">
        <v>50619.34</v>
      </c>
      <c r="D45" s="4" t="n">
        <v>9.65</v>
      </c>
      <c r="E45" s="4" t="n">
        <v>6.78</v>
      </c>
      <c r="F45" s="4" t="n">
        <v>3.76</v>
      </c>
    </row>
    <row r="46">
      <c r="A46" s="2" t="inlineStr">
        <is>
          <t>Portugal</t>
        </is>
      </c>
      <c r="B46" s="2" t="n">
        <v>2021</v>
      </c>
      <c r="C46" s="3" t="n">
        <v>35978.78</v>
      </c>
      <c r="D46" s="4" t="n">
        <v>2.1</v>
      </c>
      <c r="E46" s="4" t="n">
        <v>4.99</v>
      </c>
      <c r="F46" s="4" t="n">
        <v>-1.76</v>
      </c>
    </row>
    <row r="47">
      <c r="A47" s="2" t="inlineStr">
        <is>
          <t>Portugal</t>
        </is>
      </c>
      <c r="B47" s="2" t="n">
        <v>2022</v>
      </c>
      <c r="C47" s="3" t="n">
        <v>42802.04</v>
      </c>
      <c r="D47" s="4" t="n">
        <v>-0.07000000000000001</v>
      </c>
      <c r="E47" s="4" t="n">
        <v>10.04</v>
      </c>
      <c r="F47" s="4" t="n">
        <v>-7.02</v>
      </c>
    </row>
    <row r="48">
      <c r="A48" s="2" t="inlineStr">
        <is>
          <t>Portugal</t>
        </is>
      </c>
      <c r="B48" s="2" t="n">
        <v>2023</v>
      </c>
      <c r="C48" s="3" t="n">
        <v>32187.79</v>
      </c>
      <c r="D48" s="4" t="n">
        <v>3.97</v>
      </c>
      <c r="E48" s="4" t="n">
        <v>3.41</v>
      </c>
      <c r="F48" s="4" t="n">
        <v>2.41</v>
      </c>
    </row>
    <row r="49">
      <c r="A49" s="2" t="inlineStr">
        <is>
          <t>Suecia</t>
        </is>
      </c>
      <c r="B49" s="2" t="n">
        <v>2019</v>
      </c>
      <c r="C49" s="3" t="n">
        <v>42634.04</v>
      </c>
      <c r="D49" s="4" t="n">
        <v>3.55</v>
      </c>
      <c r="E49" s="4" t="n">
        <v>16.13</v>
      </c>
      <c r="F49" s="4" t="n">
        <v>1.03</v>
      </c>
    </row>
    <row r="50">
      <c r="A50" s="2" t="inlineStr">
        <is>
          <t>Suecia</t>
        </is>
      </c>
      <c r="B50" s="2" t="n">
        <v>2020</v>
      </c>
      <c r="C50" s="3" t="n">
        <v>59833.03</v>
      </c>
      <c r="D50" s="4" t="n">
        <v>8.699999999999999</v>
      </c>
      <c r="E50" s="4" t="n">
        <v>9.470000000000001</v>
      </c>
      <c r="F50" s="4" t="n">
        <v>-3.86</v>
      </c>
    </row>
    <row r="51">
      <c r="A51" s="2" t="inlineStr">
        <is>
          <t>Suecia</t>
        </is>
      </c>
      <c r="B51" s="2" t="n">
        <v>2021</v>
      </c>
      <c r="C51" s="3" t="n">
        <v>43260.41</v>
      </c>
      <c r="D51" s="4" t="n">
        <v>6.07</v>
      </c>
      <c r="E51" s="4" t="n">
        <v>10.95</v>
      </c>
      <c r="F51" s="4" t="n">
        <v>1.73</v>
      </c>
    </row>
    <row r="52">
      <c r="A52" s="2" t="inlineStr">
        <is>
          <t>Suecia</t>
        </is>
      </c>
      <c r="B52" s="2" t="n">
        <v>2022</v>
      </c>
      <c r="C52" s="3" t="n">
        <v>50017.43</v>
      </c>
      <c r="D52" s="4" t="n">
        <v>2.53</v>
      </c>
      <c r="E52" s="4" t="n">
        <v>8.75</v>
      </c>
      <c r="F52" s="4" t="n">
        <v>-6.13</v>
      </c>
    </row>
    <row r="53">
      <c r="A53" s="2" t="inlineStr">
        <is>
          <t>Suecia</t>
        </is>
      </c>
      <c r="B53" s="2" t="n">
        <v>2023</v>
      </c>
      <c r="C53" s="3" t="n">
        <v>29420.06</v>
      </c>
      <c r="D53" s="4" t="n">
        <v>1.78</v>
      </c>
      <c r="E53" s="4" t="n">
        <v>11.18</v>
      </c>
      <c r="F53" s="4" t="n">
        <v>-6.94</v>
      </c>
    </row>
    <row r="54"/>
    <row r="55"/>
    <row r="56">
      <c r="A56" s="5" t="inlineStr">
        <is>
          <t>ESTADÍSTICA DESCRIPTIVA — TOTALES</t>
        </is>
      </c>
    </row>
    <row r="57">
      <c r="A57" s="1" t="inlineStr">
        <is>
          <t>Estadístico</t>
        </is>
      </c>
      <c r="B57" s="1" t="inlineStr">
        <is>
          <t>PIB_per_capita_€</t>
        </is>
      </c>
      <c r="C57" s="1" t="inlineStr">
        <is>
          <t>Inflación_%</t>
        </is>
      </c>
      <c r="D57" s="1" t="inlineStr">
        <is>
          <t>Desempleo_%</t>
        </is>
      </c>
      <c r="E57" s="1" t="inlineStr">
        <is>
          <t>Crecimiento_PIB_%</t>
        </is>
      </c>
    </row>
    <row r="58">
      <c r="A58" s="6" t="inlineStr">
        <is>
          <t>MEDIA</t>
        </is>
      </c>
      <c r="B58" s="7" t="n">
        <v>42166.191</v>
      </c>
      <c r="C58" s="8" t="n">
        <v>4.301</v>
      </c>
      <c r="D58" s="8" t="n">
        <v>11.3124</v>
      </c>
      <c r="E58" s="7" t="n">
        <v>-1.0204</v>
      </c>
    </row>
    <row r="59">
      <c r="A59" s="6" t="inlineStr">
        <is>
          <t>MEDIANA</t>
        </is>
      </c>
      <c r="B59" s="7" t="n">
        <v>42316.03</v>
      </c>
      <c r="C59" s="8" t="n">
        <v>3.975</v>
      </c>
      <c r="D59" s="8" t="n">
        <v>11.45</v>
      </c>
      <c r="E59" s="7" t="n">
        <v>-0.79</v>
      </c>
    </row>
    <row r="60">
      <c r="A60" s="6" t="inlineStr">
        <is>
          <t>DESV.TÍPICA</t>
        </is>
      </c>
      <c r="B60" s="7" t="n">
        <v>10077.68384054494</v>
      </c>
      <c r="C60" s="8" t="n">
        <v>3.112681270846335</v>
      </c>
      <c r="D60" s="8" t="n">
        <v>3.846488756658732</v>
      </c>
      <c r="E60" s="7" t="n">
        <v>4.093259745843009</v>
      </c>
    </row>
    <row r="61">
      <c r="A61" s="6" t="inlineStr">
        <is>
          <t>MÍNIMO</t>
        </is>
      </c>
      <c r="B61" s="7" t="n">
        <v>25061.87</v>
      </c>
      <c r="C61" s="8" t="n">
        <v>-0.44</v>
      </c>
      <c r="D61" s="8" t="n">
        <v>3.41</v>
      </c>
      <c r="E61" s="7" t="n">
        <v>-7.77</v>
      </c>
    </row>
    <row r="62">
      <c r="A62" s="6" t="inlineStr">
        <is>
          <t>MÁXIMO</t>
        </is>
      </c>
      <c r="B62" s="7" t="n">
        <v>59833.03</v>
      </c>
      <c r="C62" s="8" t="n">
        <v>9.65</v>
      </c>
      <c r="D62" s="8" t="n">
        <v>17.77</v>
      </c>
      <c r="E62" s="7" t="n">
        <v>5.95</v>
      </c>
    </row>
    <row r="63">
      <c r="A63" s="6" t="inlineStr">
        <is>
          <t>CUENTA</t>
        </is>
      </c>
      <c r="B63" s="7" t="n">
        <v>50</v>
      </c>
      <c r="C63" s="8" t="n">
        <v>50</v>
      </c>
      <c r="D63" s="8" t="n">
        <v>50</v>
      </c>
      <c r="E63" s="7" t="n">
        <v>50</v>
      </c>
    </row>
    <row r="64">
      <c r="A64" s="6" t="inlineStr">
        <is>
          <t>VARIANZA</t>
        </is>
      </c>
      <c r="B64" s="7" t="n">
        <v>101559711.5899806</v>
      </c>
      <c r="C64" s="8" t="n">
        <v>9.688784693877551</v>
      </c>
      <c r="D64" s="8" t="n">
        <v>14.79547575510204</v>
      </c>
      <c r="E64" s="7" t="n">
        <v>16.75477534693878</v>
      </c>
    </row>
    <row r="65"/>
    <row r="66"/>
    <row r="67">
      <c r="A67" s="9" t="inlineStr">
        <is>
          <t>ESTADÍSTICA POR PAÍS — PIB per cápita medio</t>
        </is>
      </c>
    </row>
    <row r="68">
      <c r="A68" s="1" t="inlineStr">
        <is>
          <t>País</t>
        </is>
      </c>
      <c r="B68" s="1" t="inlineStr">
        <is>
          <t>Media PIB €</t>
        </is>
      </c>
      <c r="C68" s="1" t="inlineStr">
        <is>
          <t>Mediana PIB €</t>
        </is>
      </c>
      <c r="D68" s="1" t="inlineStr">
        <is>
          <t>Desv. Típica</t>
        </is>
      </c>
      <c r="E68" s="1" t="inlineStr">
        <is>
          <t>Mín PIB €</t>
        </is>
      </c>
      <c r="F68" s="1" t="inlineStr">
        <is>
          <t>Máx PIB €</t>
        </is>
      </c>
    </row>
    <row r="69">
      <c r="A69" s="6" t="inlineStr">
        <is>
          <t>España</t>
        </is>
      </c>
      <c r="B69" s="7" t="n">
        <v>45306.528</v>
      </c>
      <c r="C69" s="7" t="n">
        <v>40325.34</v>
      </c>
      <c r="D69" s="7" t="n">
        <v>8611.659581725233</v>
      </c>
      <c r="E69" s="7" t="n">
        <v>38385.14</v>
      </c>
      <c r="F69" s="7" t="n">
        <v>58328.86</v>
      </c>
    </row>
    <row r="70">
      <c r="A70" s="6" t="inlineStr">
        <is>
          <t>Francia</t>
        </is>
      </c>
      <c r="B70" s="7" t="n">
        <v>41717.466</v>
      </c>
      <c r="C70" s="7" t="n">
        <v>47563.62</v>
      </c>
      <c r="D70" s="7" t="n">
        <v>14952.03852435614</v>
      </c>
      <c r="E70" s="7" t="n">
        <v>25061.87</v>
      </c>
      <c r="F70" s="7" t="n">
        <v>56511.45</v>
      </c>
    </row>
    <row r="71">
      <c r="A71" s="6" t="inlineStr">
        <is>
          <t>Alemania</t>
        </is>
      </c>
      <c r="B71" s="7" t="n">
        <v>46947.976</v>
      </c>
      <c r="C71" s="7" t="n">
        <v>51480.44</v>
      </c>
      <c r="D71" s="7" t="n">
        <v>10499.09524899074</v>
      </c>
      <c r="E71" s="7" t="n">
        <v>30357.03</v>
      </c>
      <c r="F71" s="7" t="n">
        <v>56058.77</v>
      </c>
    </row>
    <row r="72">
      <c r="A72" s="6" t="inlineStr">
        <is>
          <t>Italia</t>
        </is>
      </c>
      <c r="B72" s="7" t="n">
        <v>39144.386</v>
      </c>
      <c r="C72" s="7" t="n">
        <v>29902.32</v>
      </c>
      <c r="D72" s="7" t="n">
        <v>14852.46778020845</v>
      </c>
      <c r="E72" s="7" t="n">
        <v>27340.35</v>
      </c>
      <c r="F72" s="7" t="n">
        <v>58210.25</v>
      </c>
    </row>
    <row r="73">
      <c r="A73" s="6" t="inlineStr">
        <is>
          <t>Portugal</t>
        </is>
      </c>
      <c r="B73" s="7" t="n">
        <v>38680.224</v>
      </c>
      <c r="C73" s="7" t="n">
        <v>35978.78</v>
      </c>
      <c r="D73" s="7" t="n">
        <v>8002.152641129134</v>
      </c>
      <c r="E73" s="7" t="n">
        <v>31813.17</v>
      </c>
      <c r="F73" s="7" t="n">
        <v>50619.34</v>
      </c>
    </row>
    <row r="74">
      <c r="A74" s="6" t="inlineStr">
        <is>
          <t>Grecia</t>
        </is>
      </c>
      <c r="B74" s="7" t="n">
        <v>42393.268</v>
      </c>
      <c r="C74" s="7" t="n">
        <v>42934.75</v>
      </c>
      <c r="D74" s="7" t="n">
        <v>6427.142930094989</v>
      </c>
      <c r="E74" s="7" t="n">
        <v>33716.56</v>
      </c>
      <c r="F74" s="7" t="n">
        <v>48800.67</v>
      </c>
    </row>
    <row r="75">
      <c r="A75" s="6" t="inlineStr">
        <is>
          <t>Países Bajos</t>
        </is>
      </c>
      <c r="B75" s="7" t="n">
        <v>38135.138</v>
      </c>
      <c r="C75" s="7" t="n">
        <v>37404.2</v>
      </c>
      <c r="D75" s="7" t="n">
        <v>6636.089187727212</v>
      </c>
      <c r="E75" s="7" t="n">
        <v>31514.55</v>
      </c>
      <c r="F75" s="7" t="n">
        <v>48265.4</v>
      </c>
    </row>
    <row r="76">
      <c r="A76" s="6" t="inlineStr">
        <is>
          <t>Suecia</t>
        </is>
      </c>
      <c r="B76" s="7" t="n">
        <v>45032.994</v>
      </c>
      <c r="C76" s="7" t="n">
        <v>43260.41</v>
      </c>
      <c r="D76" s="7" t="n">
        <v>11141.66067355894</v>
      </c>
      <c r="E76" s="7" t="n">
        <v>29420.06</v>
      </c>
      <c r="F76" s="7" t="n">
        <v>59833.03</v>
      </c>
    </row>
    <row r="77">
      <c r="A77" s="6" t="inlineStr">
        <is>
          <t>Polonia</t>
        </is>
      </c>
      <c r="B77" s="7" t="n">
        <v>43148.502</v>
      </c>
      <c r="C77" s="7" t="n">
        <v>41651.9</v>
      </c>
      <c r="D77" s="7" t="n">
        <v>9695.480252378942</v>
      </c>
      <c r="E77" s="7" t="n">
        <v>30669.03</v>
      </c>
      <c r="F77" s="7" t="n">
        <v>55333.15</v>
      </c>
    </row>
    <row r="78">
      <c r="A78" s="6" t="inlineStr">
        <is>
          <t>Irlanda</t>
        </is>
      </c>
      <c r="B78" s="7" t="n">
        <v>41155.428</v>
      </c>
      <c r="C78" s="7" t="n">
        <v>41998.02</v>
      </c>
      <c r="D78" s="7" t="n">
        <v>12130.08344958599</v>
      </c>
      <c r="E78" s="7" t="n">
        <v>26936.62</v>
      </c>
      <c r="F78" s="7" t="n">
        <v>57028.02</v>
      </c>
    </row>
    <row r="79"/>
    <row r="80"/>
    <row r="81">
      <c r="A81" s="9" t="inlineStr">
        <is>
          <t>FÓRMULAS CON REFERENCIAS ENTRE HOJAS (ejemplos)</t>
        </is>
      </c>
    </row>
    <row r="82">
      <c r="A82" s="1" t="inlineStr">
        <is>
          <t>País</t>
        </is>
      </c>
      <c r="B82" s="1" t="inlineStr">
        <is>
          <t>Fórmula PROMEDIO PIB</t>
        </is>
      </c>
      <c r="C82" s="1" t="inlineStr">
        <is>
          <t>Fórmula MAX PIB</t>
        </is>
      </c>
      <c r="D82" s="1" t="inlineStr">
        <is>
          <t>Fórmula MIN PIB</t>
        </is>
      </c>
      <c r="E82" s="1" t="inlineStr">
        <is>
          <t>Fórmula CONTAR</t>
        </is>
      </c>
      <c r="F82" s="1" t="inlineStr">
        <is>
          <t>Fórmula DESVEST</t>
        </is>
      </c>
    </row>
    <row r="83">
      <c r="A83" s="10" t="inlineStr">
        <is>
          <t>España</t>
        </is>
      </c>
      <c r="B83" s="11">
        <f>AVERAGE(España!C2:C6)</f>
        <v/>
      </c>
      <c r="C83" s="11">
        <f>MAX(España!C2:C6)</f>
        <v/>
      </c>
      <c r="D83" s="11">
        <f>MIN(España!C2:C6)</f>
        <v/>
      </c>
      <c r="E83" s="10">
        <f>COUNT(España!C2:C6)</f>
        <v/>
      </c>
      <c r="F83" s="11">
        <f>STDEV(España!C2:C6)</f>
        <v/>
      </c>
    </row>
    <row r="84">
      <c r="A84" s="10" t="inlineStr">
        <is>
          <t>Francia</t>
        </is>
      </c>
      <c r="B84" s="11">
        <f>AVERAGE(Francia!C2:C6)</f>
        <v/>
      </c>
      <c r="C84" s="11">
        <f>MAX(Francia!C2:C6)</f>
        <v/>
      </c>
      <c r="D84" s="11">
        <f>MIN(Francia!C2:C6)</f>
        <v/>
      </c>
      <c r="E84" s="10">
        <f>COUNT(Francia!C2:C6)</f>
        <v/>
      </c>
      <c r="F84" s="11">
        <f>STDEV(Francia!C2:C6)</f>
        <v/>
      </c>
    </row>
    <row r="85">
      <c r="A85" s="10" t="inlineStr">
        <is>
          <t>Alemania</t>
        </is>
      </c>
      <c r="B85" s="11">
        <f>AVERAGE(Alemania!C2:C6)</f>
        <v/>
      </c>
      <c r="C85" s="11">
        <f>MAX(Alemania!C2:C6)</f>
        <v/>
      </c>
      <c r="D85" s="11">
        <f>MIN(Alemania!C2:C6)</f>
        <v/>
      </c>
      <c r="E85" s="10">
        <f>COUNT(Alemania!C2:C6)</f>
        <v/>
      </c>
      <c r="F85" s="11">
        <f>STDEV(Alemania!C2:C6)</f>
        <v/>
      </c>
    </row>
    <row r="86">
      <c r="A86" s="10" t="inlineStr">
        <is>
          <t>Italia</t>
        </is>
      </c>
      <c r="B86" s="11">
        <f>AVERAGE(Italia!C2:C6)</f>
        <v/>
      </c>
      <c r="C86" s="11">
        <f>MAX(Italia!C2:C6)</f>
        <v/>
      </c>
      <c r="D86" s="11">
        <f>MIN(Italia!C2:C6)</f>
        <v/>
      </c>
      <c r="E86" s="10">
        <f>COUNT(Italia!C2:C6)</f>
        <v/>
      </c>
      <c r="F86" s="11">
        <f>STDEV(Italia!C2:C6)</f>
        <v/>
      </c>
    </row>
    <row r="87">
      <c r="A87" s="10" t="inlineStr">
        <is>
          <t>Portugal</t>
        </is>
      </c>
      <c r="B87" s="11">
        <f>AVERAGE(Portugal!C2:C6)</f>
        <v/>
      </c>
      <c r="C87" s="11">
        <f>MAX(Portugal!C2:C6)</f>
        <v/>
      </c>
      <c r="D87" s="11">
        <f>MIN(Portugal!C2:C6)</f>
        <v/>
      </c>
      <c r="E87" s="10">
        <f>COUNT(Portugal!C2:C6)</f>
        <v/>
      </c>
      <c r="F87" s="11">
        <f>STDEV(Portugal!C2:C6)</f>
        <v/>
      </c>
    </row>
    <row r="88">
      <c r="A88" s="10" t="inlineStr">
        <is>
          <t>Grecia</t>
        </is>
      </c>
      <c r="B88" s="11">
        <f>AVERAGE(Grecia!C2:C6)</f>
        <v/>
      </c>
      <c r="C88" s="11">
        <f>MAX(Grecia!C2:C6)</f>
        <v/>
      </c>
      <c r="D88" s="11">
        <f>MIN(Grecia!C2:C6)</f>
        <v/>
      </c>
      <c r="E88" s="10">
        <f>COUNT(Grecia!C2:C6)</f>
        <v/>
      </c>
      <c r="F88" s="11">
        <f>STDEV(Grecia!C2:C6)</f>
        <v/>
      </c>
    </row>
    <row r="89">
      <c r="A89" s="10" t="inlineStr">
        <is>
          <t>Países Bajos</t>
        </is>
      </c>
      <c r="B89" s="11">
        <f>AVERAGE('Países Bajos'!C2:C6)</f>
        <v/>
      </c>
      <c r="C89" s="11">
        <f>MAX('Países Bajos'!C2:C6)</f>
        <v/>
      </c>
      <c r="D89" s="11">
        <f>MIN('Países Bajos'!C2:C6)</f>
        <v/>
      </c>
      <c r="E89" s="10">
        <f>COUNT('Países Bajos'!C2:C6)</f>
        <v/>
      </c>
      <c r="F89" s="11">
        <f>STDEV('Países Bajos'!C2:C6)</f>
        <v/>
      </c>
    </row>
    <row r="90">
      <c r="A90" s="10" t="inlineStr">
        <is>
          <t>Suecia</t>
        </is>
      </c>
      <c r="B90" s="11">
        <f>AVERAGE(Suecia!C2:C6)</f>
        <v/>
      </c>
      <c r="C90" s="11">
        <f>MAX(Suecia!C2:C6)</f>
        <v/>
      </c>
      <c r="D90" s="11">
        <f>MIN(Suecia!C2:C6)</f>
        <v/>
      </c>
      <c r="E90" s="10">
        <f>COUNT(Suecia!C2:C6)</f>
        <v/>
      </c>
      <c r="F90" s="11">
        <f>STDEV(Suecia!C2:C6)</f>
        <v/>
      </c>
    </row>
    <row r="91">
      <c r="A91" s="10" t="inlineStr">
        <is>
          <t>Polonia</t>
        </is>
      </c>
      <c r="B91" s="11">
        <f>AVERAGE(Polonia!C2:C6)</f>
        <v/>
      </c>
      <c r="C91" s="11">
        <f>MAX(Polonia!C2:C6)</f>
        <v/>
      </c>
      <c r="D91" s="11">
        <f>MIN(Polonia!C2:C6)</f>
        <v/>
      </c>
      <c r="E91" s="10">
        <f>COUNT(Polonia!C2:C6)</f>
        <v/>
      </c>
      <c r="F91" s="11">
        <f>STDEV(Polonia!C2:C6)</f>
        <v/>
      </c>
    </row>
    <row r="92">
      <c r="A92" s="10" t="inlineStr">
        <is>
          <t>Irlanda</t>
        </is>
      </c>
      <c r="B92" s="11">
        <f>AVERAGE(Irlanda!C2:C6)</f>
        <v/>
      </c>
      <c r="C92" s="11">
        <f>MAX(Irlanda!C2:C6)</f>
        <v/>
      </c>
      <c r="D92" s="11">
        <f>MIN(Irlanda!C2:C6)</f>
        <v/>
      </c>
      <c r="E92" s="10">
        <f>COUNT(Irlanda!C2:C6)</f>
        <v/>
      </c>
      <c r="F92" s="11">
        <f>STDEV(Irlanda!C2:C6)</f>
        <v/>
      </c>
    </row>
  </sheetData>
  <mergeCells count="4">
    <mergeCell ref="A1:F1"/>
    <mergeCell ref="A56:F56"/>
    <mergeCell ref="A81:F81"/>
    <mergeCell ref="A67:F6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20" customWidth="1" min="3" max="3"/>
    <col width="15" customWidth="1" min="4" max="4"/>
    <col width="15" customWidth="1" min="5" max="5"/>
    <col width="21" customWidth="1" min="6" max="6"/>
  </cols>
  <sheetData>
    <row r="1">
      <c r="A1" s="5" t="inlineStr">
        <is>
          <t>FORMATO CONDICIONAL — Alertas Macroeconómicas</t>
        </is>
      </c>
    </row>
    <row r="2"/>
    <row r="3">
      <c r="A3" s="1" t="inlineStr">
        <is>
          <t>País</t>
        </is>
      </c>
      <c r="B3" s="1" t="inlineStr">
        <is>
          <t>Año</t>
        </is>
      </c>
      <c r="C3" s="1" t="inlineStr">
        <is>
          <t>PIB_per_capita_€</t>
        </is>
      </c>
      <c r="D3" s="1" t="inlineStr">
        <is>
          <t>Inflación_%</t>
        </is>
      </c>
      <c r="E3" s="1" t="inlineStr">
        <is>
          <t>Desempleo_%</t>
        </is>
      </c>
      <c r="F3" s="1" t="inlineStr">
        <is>
          <t>Crecimiento_PIB_%</t>
        </is>
      </c>
    </row>
    <row r="4">
      <c r="A4" s="2" t="inlineStr">
        <is>
          <t>Alemania</t>
        </is>
      </c>
      <c r="B4" s="2" t="n">
        <v>2019</v>
      </c>
      <c r="C4" s="3" t="n">
        <v>56058.77</v>
      </c>
      <c r="D4" s="4" t="n">
        <v>0.57</v>
      </c>
      <c r="E4" s="4" t="n">
        <v>11.64</v>
      </c>
      <c r="F4" s="4" t="n">
        <v>-4.29</v>
      </c>
    </row>
    <row r="5">
      <c r="A5" s="2" t="inlineStr">
        <is>
          <t>Alemania</t>
        </is>
      </c>
      <c r="B5" s="2" t="n">
        <v>2020</v>
      </c>
      <c r="C5" s="3" t="n">
        <v>53796.31</v>
      </c>
      <c r="D5" s="4" t="n">
        <v>9.449999999999999</v>
      </c>
      <c r="E5" s="4" t="n">
        <v>15.09</v>
      </c>
      <c r="F5" s="4" t="n">
        <v>-6.15</v>
      </c>
    </row>
    <row r="6">
      <c r="A6" s="2" t="inlineStr">
        <is>
          <t>Alemania</t>
        </is>
      </c>
      <c r="B6" s="2" t="n">
        <v>2021</v>
      </c>
      <c r="C6" s="3" t="n">
        <v>43047.33</v>
      </c>
      <c r="D6" s="4" t="n">
        <v>2.02</v>
      </c>
      <c r="E6" s="4" t="n">
        <v>6.23</v>
      </c>
      <c r="F6" s="4" t="n">
        <v>-6.79</v>
      </c>
    </row>
    <row r="7">
      <c r="A7" s="2" t="inlineStr">
        <is>
          <t>Alemania</t>
        </is>
      </c>
      <c r="B7" s="2" t="n">
        <v>2022</v>
      </c>
      <c r="C7" s="3" t="n">
        <v>51480.44</v>
      </c>
      <c r="D7" s="4" t="n">
        <v>0.41</v>
      </c>
      <c r="E7" s="4" t="n">
        <v>16.5</v>
      </c>
      <c r="F7" s="4" t="n">
        <v>-1.21</v>
      </c>
    </row>
    <row r="8">
      <c r="A8" s="2" t="inlineStr">
        <is>
          <t>Alemania</t>
        </is>
      </c>
      <c r="B8" s="2" t="n">
        <v>2023</v>
      </c>
      <c r="C8" s="3" t="n">
        <v>30357.03</v>
      </c>
      <c r="D8" s="4" t="n">
        <v>3.71</v>
      </c>
      <c r="E8" s="4" t="n">
        <v>3.5</v>
      </c>
      <c r="F8" s="4" t="n">
        <v>3.71</v>
      </c>
    </row>
    <row r="9">
      <c r="A9" s="2" t="inlineStr">
        <is>
          <t>España</t>
        </is>
      </c>
      <c r="B9" s="2" t="n">
        <v>2019</v>
      </c>
      <c r="C9" s="3" t="n">
        <v>39564.14</v>
      </c>
      <c r="D9" s="4" t="n">
        <v>5.8</v>
      </c>
      <c r="E9" s="4" t="n">
        <v>16.32</v>
      </c>
      <c r="F9" s="4" t="n">
        <v>0.46</v>
      </c>
    </row>
    <row r="10">
      <c r="A10" s="2" t="inlineStr">
        <is>
          <t>España</t>
        </is>
      </c>
      <c r="B10" s="2" t="n">
        <v>2020</v>
      </c>
      <c r="C10" s="3" t="n">
        <v>38385.14</v>
      </c>
      <c r="D10" s="4" t="n">
        <v>6.54</v>
      </c>
      <c r="E10" s="4" t="n">
        <v>11.59</v>
      </c>
      <c r="F10" s="4" t="n">
        <v>-7.77</v>
      </c>
    </row>
    <row r="11">
      <c r="A11" s="2" t="inlineStr">
        <is>
          <t>España</t>
        </is>
      </c>
      <c r="B11" s="2" t="n">
        <v>2021</v>
      </c>
      <c r="C11" s="3" t="n">
        <v>49929.16</v>
      </c>
      <c r="D11" s="4" t="n">
        <v>-0.15</v>
      </c>
      <c r="E11" s="4" t="n">
        <v>15.31</v>
      </c>
      <c r="F11" s="4" t="n">
        <v>4.17</v>
      </c>
    </row>
    <row r="12">
      <c r="A12" s="2" t="inlineStr">
        <is>
          <t>España</t>
        </is>
      </c>
      <c r="B12" s="2" t="n">
        <v>2022</v>
      </c>
      <c r="C12" s="3" t="n">
        <v>40325.34</v>
      </c>
      <c r="D12" s="4" t="n">
        <v>8.06</v>
      </c>
      <c r="E12" s="4" t="n">
        <v>11.97</v>
      </c>
      <c r="F12" s="4" t="n">
        <v>1.28</v>
      </c>
    </row>
    <row r="13">
      <c r="A13" s="2" t="inlineStr">
        <is>
          <t>España</t>
        </is>
      </c>
      <c r="B13" s="2" t="n">
        <v>2023</v>
      </c>
      <c r="C13" s="3" t="n">
        <v>58328.86</v>
      </c>
      <c r="D13" s="4" t="n">
        <v>6.58</v>
      </c>
      <c r="E13" s="4" t="n">
        <v>17.77</v>
      </c>
      <c r="F13" s="4" t="n">
        <v>-1.8</v>
      </c>
    </row>
    <row r="14">
      <c r="A14" s="2" t="inlineStr">
        <is>
          <t>Francia</t>
        </is>
      </c>
      <c r="B14" s="2" t="n">
        <v>2019</v>
      </c>
      <c r="C14" s="3" t="n">
        <v>47563.62</v>
      </c>
      <c r="D14" s="4" t="n">
        <v>0.67</v>
      </c>
      <c r="E14" s="4" t="n">
        <v>11.61</v>
      </c>
      <c r="F14" s="4" t="n">
        <v>-5.81</v>
      </c>
    </row>
    <row r="15">
      <c r="A15" s="2" t="inlineStr">
        <is>
          <t>Francia</t>
        </is>
      </c>
      <c r="B15" s="2" t="n">
        <v>2020</v>
      </c>
      <c r="C15" s="3" t="n">
        <v>56511.45</v>
      </c>
      <c r="D15" s="4" t="n">
        <v>0.36</v>
      </c>
      <c r="E15" s="4" t="n">
        <v>17.11</v>
      </c>
      <c r="F15" s="4" t="n">
        <v>-6.41</v>
      </c>
    </row>
    <row r="16">
      <c r="A16" s="2" t="inlineStr">
        <is>
          <t>Francia</t>
        </is>
      </c>
      <c r="B16" s="2" t="n">
        <v>2021</v>
      </c>
      <c r="C16" s="3" t="n">
        <v>26386.02</v>
      </c>
      <c r="D16" s="4" t="n">
        <v>0.25</v>
      </c>
      <c r="E16" s="4" t="n">
        <v>16.75</v>
      </c>
      <c r="F16" s="4" t="n">
        <v>2.42</v>
      </c>
    </row>
    <row r="17">
      <c r="A17" s="2" t="inlineStr">
        <is>
          <t>Francia</t>
        </is>
      </c>
      <c r="B17" s="2" t="n">
        <v>2022</v>
      </c>
      <c r="C17" s="3" t="n">
        <v>53064.37</v>
      </c>
      <c r="D17" s="4" t="n">
        <v>6.56</v>
      </c>
      <c r="E17" s="4" t="n">
        <v>13.43</v>
      </c>
      <c r="F17" s="4" t="n">
        <v>-3.19</v>
      </c>
    </row>
    <row r="18">
      <c r="A18" s="2" t="inlineStr">
        <is>
          <t>Francia</t>
        </is>
      </c>
      <c r="B18" s="2" t="n">
        <v>2023</v>
      </c>
      <c r="C18" s="3" t="n">
        <v>25061.87</v>
      </c>
      <c r="D18" s="4" t="n">
        <v>7.45</v>
      </c>
      <c r="E18" s="4" t="n">
        <v>11.21</v>
      </c>
      <c r="F18" s="4" t="n">
        <v>-7.1</v>
      </c>
    </row>
    <row r="19">
      <c r="A19" s="2" t="inlineStr">
        <is>
          <t>Grecia</t>
        </is>
      </c>
      <c r="B19" s="2" t="n">
        <v>2019</v>
      </c>
      <c r="C19" s="3" t="n">
        <v>33716.56</v>
      </c>
      <c r="D19" s="4" t="n">
        <v>2.13</v>
      </c>
      <c r="E19" s="4" t="n">
        <v>14.31</v>
      </c>
      <c r="F19" s="4" t="n">
        <v>5.34</v>
      </c>
    </row>
    <row r="20">
      <c r="A20" s="2" t="inlineStr">
        <is>
          <t>Grecia</t>
        </is>
      </c>
      <c r="B20" s="2" t="n">
        <v>2020</v>
      </c>
      <c r="C20" s="3" t="n">
        <v>48110.36</v>
      </c>
      <c r="D20" s="4" t="n">
        <v>8.52</v>
      </c>
      <c r="E20" s="4" t="n">
        <v>11.49</v>
      </c>
      <c r="F20" s="4" t="n">
        <v>3.4</v>
      </c>
    </row>
    <row r="21">
      <c r="A21" s="2" t="inlineStr">
        <is>
          <t>Grecia</t>
        </is>
      </c>
      <c r="B21" s="2" t="n">
        <v>2021</v>
      </c>
      <c r="C21" s="3" t="n">
        <v>48800.67</v>
      </c>
      <c r="D21" s="4" t="n">
        <v>5.16</v>
      </c>
      <c r="E21" s="4" t="n">
        <v>8.16</v>
      </c>
      <c r="F21" s="4" t="n">
        <v>-3.8</v>
      </c>
    </row>
    <row r="22">
      <c r="A22" s="2" t="inlineStr">
        <is>
          <t>Grecia</t>
        </is>
      </c>
      <c r="B22" s="2" t="n">
        <v>2022</v>
      </c>
      <c r="C22" s="3" t="n">
        <v>42934.75</v>
      </c>
      <c r="D22" s="4" t="n">
        <v>3.98</v>
      </c>
      <c r="E22" s="4" t="n">
        <v>14.36</v>
      </c>
      <c r="F22" s="4" t="n">
        <v>5.95</v>
      </c>
    </row>
    <row r="23">
      <c r="A23" s="2" t="inlineStr">
        <is>
          <t>Grecia</t>
        </is>
      </c>
      <c r="B23" s="2" t="n">
        <v>2023</v>
      </c>
      <c r="C23" s="3" t="n">
        <v>38404</v>
      </c>
      <c r="D23" s="4" t="n">
        <v>8.57</v>
      </c>
      <c r="E23" s="4" t="n">
        <v>12.99</v>
      </c>
      <c r="F23" s="4" t="n">
        <v>2.29</v>
      </c>
    </row>
    <row r="24">
      <c r="A24" s="2" t="inlineStr">
        <is>
          <t>Irlanda</t>
        </is>
      </c>
      <c r="B24" s="2" t="n">
        <v>2019</v>
      </c>
      <c r="C24" s="3" t="n">
        <v>26936.62</v>
      </c>
      <c r="D24" s="4" t="n">
        <v>5.64</v>
      </c>
      <c r="E24" s="4" t="n">
        <v>6.06</v>
      </c>
      <c r="F24" s="4" t="n">
        <v>-3.4</v>
      </c>
    </row>
    <row r="25">
      <c r="A25" s="2" t="inlineStr">
        <is>
          <t>Irlanda</t>
        </is>
      </c>
      <c r="B25" s="2" t="n">
        <v>2020</v>
      </c>
      <c r="C25" s="3" t="n">
        <v>31825.9</v>
      </c>
      <c r="D25" s="4" t="n">
        <v>3.33</v>
      </c>
      <c r="E25" s="4" t="n">
        <v>7.44</v>
      </c>
      <c r="F25" s="4" t="n">
        <v>2.49</v>
      </c>
    </row>
    <row r="26">
      <c r="A26" s="2" t="inlineStr">
        <is>
          <t>Irlanda</t>
        </is>
      </c>
      <c r="B26" s="2" t="n">
        <v>2021</v>
      </c>
      <c r="C26" s="3" t="n">
        <v>47988.58</v>
      </c>
      <c r="D26" s="4" t="n">
        <v>2.06</v>
      </c>
      <c r="E26" s="4" t="n">
        <v>10.41</v>
      </c>
      <c r="F26" s="4" t="n">
        <v>3.65</v>
      </c>
    </row>
    <row r="27">
      <c r="A27" s="2" t="inlineStr">
        <is>
          <t>Irlanda</t>
        </is>
      </c>
      <c r="B27" s="2" t="n">
        <v>2022</v>
      </c>
      <c r="C27" s="3" t="n">
        <v>57028.02</v>
      </c>
      <c r="D27" s="4" t="n">
        <v>4.38</v>
      </c>
      <c r="E27" s="4" t="n">
        <v>13.79</v>
      </c>
      <c r="F27" s="4" t="n">
        <v>-6.42</v>
      </c>
    </row>
    <row r="28">
      <c r="A28" s="2" t="inlineStr">
        <is>
          <t>Irlanda</t>
        </is>
      </c>
      <c r="B28" s="2" t="n">
        <v>2023</v>
      </c>
      <c r="C28" s="3" t="n">
        <v>41998.02</v>
      </c>
      <c r="D28" s="4" t="n">
        <v>-0.2</v>
      </c>
      <c r="E28" s="4" t="n">
        <v>5.63</v>
      </c>
      <c r="F28" s="4" t="n">
        <v>0.65</v>
      </c>
    </row>
    <row r="29">
      <c r="A29" s="2" t="inlineStr">
        <is>
          <t>Italia</t>
        </is>
      </c>
      <c r="B29" s="2" t="n">
        <v>2019</v>
      </c>
      <c r="C29" s="3" t="n">
        <v>58210.25</v>
      </c>
      <c r="D29" s="4" t="n">
        <v>7.03</v>
      </c>
      <c r="E29" s="4" t="n">
        <v>9.6</v>
      </c>
      <c r="F29" s="4" t="n">
        <v>1.16</v>
      </c>
    </row>
    <row r="30">
      <c r="A30" s="2" t="inlineStr">
        <is>
          <t>Italia</t>
        </is>
      </c>
      <c r="B30" s="2" t="n">
        <v>2020</v>
      </c>
      <c r="C30" s="3" t="n">
        <v>52220.95</v>
      </c>
      <c r="D30" s="4" t="n">
        <v>9.59</v>
      </c>
      <c r="E30" s="4" t="n">
        <v>16.26</v>
      </c>
      <c r="F30" s="4" t="n">
        <v>0.02</v>
      </c>
    </row>
    <row r="31">
      <c r="A31" s="2" t="inlineStr">
        <is>
          <t>Italia</t>
        </is>
      </c>
      <c r="B31" s="2" t="n">
        <v>2021</v>
      </c>
      <c r="C31" s="3" t="n">
        <v>28048.06</v>
      </c>
      <c r="D31" s="4" t="n">
        <v>2</v>
      </c>
      <c r="E31" s="4" t="n">
        <v>10.67</v>
      </c>
      <c r="F31" s="4" t="n">
        <v>4.99</v>
      </c>
    </row>
    <row r="32">
      <c r="A32" s="2" t="inlineStr">
        <is>
          <t>Italia</t>
        </is>
      </c>
      <c r="B32" s="2" t="n">
        <v>2022</v>
      </c>
      <c r="C32" s="3" t="n">
        <v>27340.35</v>
      </c>
      <c r="D32" s="4" t="n">
        <v>5</v>
      </c>
      <c r="E32" s="4" t="n">
        <v>11.49</v>
      </c>
      <c r="F32" s="4" t="n">
        <v>4.19</v>
      </c>
    </row>
    <row r="33">
      <c r="A33" s="2" t="inlineStr">
        <is>
          <t>Italia</t>
        </is>
      </c>
      <c r="B33" s="2" t="n">
        <v>2023</v>
      </c>
      <c r="C33" s="3" t="n">
        <v>29902.32</v>
      </c>
      <c r="D33" s="4" t="n">
        <v>7.45</v>
      </c>
      <c r="E33" s="4" t="n">
        <v>13.28</v>
      </c>
      <c r="F33" s="4" t="n">
        <v>-1.24</v>
      </c>
    </row>
    <row r="34">
      <c r="A34" s="2" t="inlineStr">
        <is>
          <t>Países Bajos</t>
        </is>
      </c>
      <c r="B34" s="2" t="n">
        <v>2019</v>
      </c>
      <c r="C34" s="3" t="n">
        <v>48265.4</v>
      </c>
      <c r="D34" s="4" t="n">
        <v>6.47</v>
      </c>
      <c r="E34" s="4" t="n">
        <v>11.41</v>
      </c>
      <c r="F34" s="4" t="n">
        <v>-7.18</v>
      </c>
    </row>
    <row r="35">
      <c r="A35" s="2" t="inlineStr">
        <is>
          <t>Países Bajos</t>
        </is>
      </c>
      <c r="B35" s="2" t="n">
        <v>2020</v>
      </c>
      <c r="C35" s="3" t="n">
        <v>33188.99</v>
      </c>
      <c r="D35" s="4" t="n">
        <v>2.71</v>
      </c>
      <c r="E35" s="4" t="n">
        <v>5</v>
      </c>
      <c r="F35" s="4" t="n">
        <v>-0.83</v>
      </c>
    </row>
    <row r="36">
      <c r="A36" s="2" t="inlineStr">
        <is>
          <t>Países Bajos</t>
        </is>
      </c>
      <c r="B36" s="2" t="n">
        <v>2021</v>
      </c>
      <c r="C36" s="3" t="n">
        <v>37404.2</v>
      </c>
      <c r="D36" s="4" t="n">
        <v>5.3</v>
      </c>
      <c r="E36" s="4" t="n">
        <v>10.77</v>
      </c>
      <c r="F36" s="4" t="n">
        <v>-2.09</v>
      </c>
    </row>
    <row r="37">
      <c r="A37" s="2" t="inlineStr">
        <is>
          <t>Países Bajos</t>
        </is>
      </c>
      <c r="B37" s="2" t="n">
        <v>2022</v>
      </c>
      <c r="C37" s="3" t="n">
        <v>31514.55</v>
      </c>
      <c r="D37" s="4" t="n">
        <v>6.58</v>
      </c>
      <c r="E37" s="4" t="n">
        <v>11.02</v>
      </c>
      <c r="F37" s="4" t="n">
        <v>-4.97</v>
      </c>
    </row>
    <row r="38">
      <c r="A38" s="2" t="inlineStr">
        <is>
          <t>Países Bajos</t>
        </is>
      </c>
      <c r="B38" s="2" t="n">
        <v>2023</v>
      </c>
      <c r="C38" s="3" t="n">
        <v>40302.55</v>
      </c>
      <c r="D38" s="4" t="n">
        <v>9.140000000000001</v>
      </c>
      <c r="E38" s="4" t="n">
        <v>15.27</v>
      </c>
      <c r="F38" s="4" t="n">
        <v>-0.75</v>
      </c>
    </row>
    <row r="39">
      <c r="A39" s="2" t="inlineStr">
        <is>
          <t>Polonia</t>
        </is>
      </c>
      <c r="B39" s="2" t="n">
        <v>2019</v>
      </c>
      <c r="C39" s="3" t="n">
        <v>30669.03</v>
      </c>
      <c r="D39" s="4" t="n">
        <v>-0.13</v>
      </c>
      <c r="E39" s="4" t="n">
        <v>6.01</v>
      </c>
      <c r="F39" s="4" t="n">
        <v>3.95</v>
      </c>
    </row>
    <row r="40">
      <c r="A40" s="2" t="inlineStr">
        <is>
          <t>Polonia</t>
        </is>
      </c>
      <c r="B40" s="2" t="n">
        <v>2020</v>
      </c>
      <c r="C40" s="3" t="n">
        <v>49873.54</v>
      </c>
      <c r="D40" s="4" t="n">
        <v>1.41</v>
      </c>
      <c r="E40" s="4" t="n">
        <v>16.1</v>
      </c>
      <c r="F40" s="4" t="n">
        <v>-5.78</v>
      </c>
    </row>
    <row r="41">
      <c r="A41" s="2" t="inlineStr">
        <is>
          <t>Polonia</t>
        </is>
      </c>
      <c r="B41" s="2" t="n">
        <v>2021</v>
      </c>
      <c r="C41" s="3" t="n">
        <v>38214.89</v>
      </c>
      <c r="D41" s="4" t="n">
        <v>-0.44</v>
      </c>
      <c r="E41" s="4" t="n">
        <v>15.67</v>
      </c>
      <c r="F41" s="4" t="n">
        <v>1.55</v>
      </c>
    </row>
    <row r="42">
      <c r="A42" s="2" t="inlineStr">
        <is>
          <t>Polonia</t>
        </is>
      </c>
      <c r="B42" s="2" t="n">
        <v>2022</v>
      </c>
      <c r="C42" s="3" t="n">
        <v>41651.9</v>
      </c>
      <c r="D42" s="4" t="n">
        <v>3.94</v>
      </c>
      <c r="E42" s="4" t="n">
        <v>7.38</v>
      </c>
      <c r="F42" s="4" t="n">
        <v>2.14</v>
      </c>
    </row>
    <row r="43">
      <c r="A43" s="2" t="inlineStr">
        <is>
          <t>Polonia</t>
        </is>
      </c>
      <c r="B43" s="2" t="n">
        <v>2023</v>
      </c>
      <c r="C43" s="3" t="n">
        <v>55333.15</v>
      </c>
      <c r="D43" s="4" t="n">
        <v>7.05</v>
      </c>
      <c r="E43" s="4" t="n">
        <v>10.75</v>
      </c>
      <c r="F43" s="4" t="n">
        <v>-1.69</v>
      </c>
    </row>
    <row r="44">
      <c r="A44" s="2" t="inlineStr">
        <is>
          <t>Portugal</t>
        </is>
      </c>
      <c r="B44" s="2" t="n">
        <v>2019</v>
      </c>
      <c r="C44" s="3" t="n">
        <v>31813.17</v>
      </c>
      <c r="D44" s="4" t="n">
        <v>1.82</v>
      </c>
      <c r="E44" s="4" t="n">
        <v>12.57</v>
      </c>
      <c r="F44" s="4" t="n">
        <v>0.62</v>
      </c>
    </row>
    <row r="45">
      <c r="A45" s="2" t="inlineStr">
        <is>
          <t>Portugal</t>
        </is>
      </c>
      <c r="B45" s="2" t="n">
        <v>2020</v>
      </c>
      <c r="C45" s="3" t="n">
        <v>50619.34</v>
      </c>
      <c r="D45" s="4" t="n">
        <v>9.65</v>
      </c>
      <c r="E45" s="4" t="n">
        <v>6.78</v>
      </c>
      <c r="F45" s="4" t="n">
        <v>3.76</v>
      </c>
    </row>
    <row r="46">
      <c r="A46" s="2" t="inlineStr">
        <is>
          <t>Portugal</t>
        </is>
      </c>
      <c r="B46" s="2" t="n">
        <v>2021</v>
      </c>
      <c r="C46" s="3" t="n">
        <v>35978.78</v>
      </c>
      <c r="D46" s="4" t="n">
        <v>2.1</v>
      </c>
      <c r="E46" s="4" t="n">
        <v>4.99</v>
      </c>
      <c r="F46" s="4" t="n">
        <v>-1.76</v>
      </c>
    </row>
    <row r="47">
      <c r="A47" s="2" t="inlineStr">
        <is>
          <t>Portugal</t>
        </is>
      </c>
      <c r="B47" s="2" t="n">
        <v>2022</v>
      </c>
      <c r="C47" s="3" t="n">
        <v>42802.04</v>
      </c>
      <c r="D47" s="4" t="n">
        <v>-0.07000000000000001</v>
      </c>
      <c r="E47" s="4" t="n">
        <v>10.04</v>
      </c>
      <c r="F47" s="4" t="n">
        <v>-7.02</v>
      </c>
    </row>
    <row r="48">
      <c r="A48" s="2" t="inlineStr">
        <is>
          <t>Portugal</t>
        </is>
      </c>
      <c r="B48" s="2" t="n">
        <v>2023</v>
      </c>
      <c r="C48" s="3" t="n">
        <v>32187.79</v>
      </c>
      <c r="D48" s="4" t="n">
        <v>3.97</v>
      </c>
      <c r="E48" s="4" t="n">
        <v>3.41</v>
      </c>
      <c r="F48" s="4" t="n">
        <v>2.41</v>
      </c>
    </row>
    <row r="49">
      <c r="A49" s="2" t="inlineStr">
        <is>
          <t>Suecia</t>
        </is>
      </c>
      <c r="B49" s="2" t="n">
        <v>2019</v>
      </c>
      <c r="C49" s="3" t="n">
        <v>42634.04</v>
      </c>
      <c r="D49" s="4" t="n">
        <v>3.55</v>
      </c>
      <c r="E49" s="4" t="n">
        <v>16.13</v>
      </c>
      <c r="F49" s="4" t="n">
        <v>1.03</v>
      </c>
    </row>
    <row r="50">
      <c r="A50" s="2" t="inlineStr">
        <is>
          <t>Suecia</t>
        </is>
      </c>
      <c r="B50" s="2" t="n">
        <v>2020</v>
      </c>
      <c r="C50" s="3" t="n">
        <v>59833.03</v>
      </c>
      <c r="D50" s="4" t="n">
        <v>8.699999999999999</v>
      </c>
      <c r="E50" s="4" t="n">
        <v>9.470000000000001</v>
      </c>
      <c r="F50" s="4" t="n">
        <v>-3.86</v>
      </c>
    </row>
    <row r="51">
      <c r="A51" s="2" t="inlineStr">
        <is>
          <t>Suecia</t>
        </is>
      </c>
      <c r="B51" s="2" t="n">
        <v>2021</v>
      </c>
      <c r="C51" s="3" t="n">
        <v>43260.41</v>
      </c>
      <c r="D51" s="4" t="n">
        <v>6.07</v>
      </c>
      <c r="E51" s="4" t="n">
        <v>10.95</v>
      </c>
      <c r="F51" s="4" t="n">
        <v>1.73</v>
      </c>
    </row>
    <row r="52">
      <c r="A52" s="2" t="inlineStr">
        <is>
          <t>Suecia</t>
        </is>
      </c>
      <c r="B52" s="2" t="n">
        <v>2022</v>
      </c>
      <c r="C52" s="3" t="n">
        <v>50017.43</v>
      </c>
      <c r="D52" s="4" t="n">
        <v>2.53</v>
      </c>
      <c r="E52" s="4" t="n">
        <v>8.75</v>
      </c>
      <c r="F52" s="4" t="n">
        <v>-6.13</v>
      </c>
    </row>
    <row r="53">
      <c r="A53" s="2" t="inlineStr">
        <is>
          <t>Suecia</t>
        </is>
      </c>
      <c r="B53" s="2" t="n">
        <v>2023</v>
      </c>
      <c r="C53" s="3" t="n">
        <v>29420.06</v>
      </c>
      <c r="D53" s="4" t="n">
        <v>1.78</v>
      </c>
      <c r="E53" s="4" t="n">
        <v>11.18</v>
      </c>
      <c r="F53" s="4" t="n">
        <v>-6.94</v>
      </c>
    </row>
    <row r="54"/>
    <row r="55">
      <c r="A55" s="12" t="inlineStr">
        <is>
          <t>LEYENDA:</t>
        </is>
      </c>
    </row>
    <row r="56">
      <c r="A56" s="13" t="inlineStr">
        <is>
          <t>■ Inflación &gt; 5%</t>
        </is>
      </c>
    </row>
    <row r="57">
      <c r="A57" s="14" t="inlineStr">
        <is>
          <t>■ Desempleo &gt; 12%</t>
        </is>
      </c>
    </row>
    <row r="58">
      <c r="A58" s="15" t="inlineStr">
        <is>
          <t>■ Crecimiento negativo</t>
        </is>
      </c>
    </row>
  </sheetData>
  <mergeCells count="1">
    <mergeCell ref="A1:F1"/>
  </mergeCells>
  <conditionalFormatting sqref="D4:D53">
    <cfRule type="cellIs" priority="1" operator="greaterThan" dxfId="0">
      <formula>5</formula>
    </cfRule>
  </conditionalFormatting>
  <conditionalFormatting sqref="E4:E53">
    <cfRule type="cellIs" priority="2" operator="greaterThan" dxfId="1">
      <formula>12</formula>
    </cfRule>
  </conditionalFormatting>
  <conditionalFormatting sqref="F4:F53">
    <cfRule type="cellIs" priority="3" operator="lessThan" dxfId="2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34" customWidth="1" min="3" max="3"/>
    <col width="15" customWidth="1" min="4" max="4"/>
    <col width="15" customWidth="1" min="5" max="5"/>
    <col width="21" customWidth="1" min="6" max="6"/>
    <col width="27" customWidth="1" min="7" max="7"/>
    <col width="23" customWidth="1" min="8" max="8"/>
    <col width="24" customWidth="1" min="9" max="9"/>
  </cols>
  <sheetData>
    <row r="1">
      <c r="A1" s="5" t="inlineStr">
        <is>
          <t>BÚSQUEDA — Clasificación de Inflación de España (BUSCARV)</t>
        </is>
      </c>
    </row>
    <row r="2"/>
    <row r="3">
      <c r="A3" s="1" t="inlineStr">
        <is>
          <t>País</t>
        </is>
      </c>
      <c r="B3" s="1" t="inlineStr">
        <is>
          <t>Año</t>
        </is>
      </c>
      <c r="C3" s="1" t="inlineStr">
        <is>
          <t>PIB_per_capita_€</t>
        </is>
      </c>
      <c r="D3" s="1" t="inlineStr">
        <is>
          <t>Inflación_%</t>
        </is>
      </c>
      <c r="E3" s="1" t="inlineStr">
        <is>
          <t>Desempleo_%</t>
        </is>
      </c>
      <c r="F3" s="1" t="inlineStr">
        <is>
          <t>Crecimiento_PIB_%</t>
        </is>
      </c>
      <c r="G3" s="1" t="inlineStr">
        <is>
          <t>Clasificación_Inflación</t>
        </is>
      </c>
      <c r="H3" s="16" t="inlineStr">
        <is>
          <t>Tabla Clasificación</t>
        </is>
      </c>
    </row>
    <row r="4">
      <c r="A4" s="2" t="inlineStr">
        <is>
          <t>Alemania</t>
        </is>
      </c>
      <c r="B4" s="2" t="n">
        <v>2019</v>
      </c>
      <c r="C4" s="3" t="n">
        <v>56058.77</v>
      </c>
      <c r="D4" s="4" t="n">
        <v>0.57</v>
      </c>
      <c r="E4" s="4" t="n">
        <v>11.64</v>
      </c>
      <c r="F4" s="4" t="n">
        <v>-4.29</v>
      </c>
      <c r="G4" s="17" t="inlineStr">
        <is>
          <t>Inflación moderada</t>
        </is>
      </c>
      <c r="H4" s="18" t="inlineStr">
        <is>
          <t>Límite Inferior</t>
        </is>
      </c>
      <c r="I4" s="18" t="inlineStr">
        <is>
          <t>Clasificación</t>
        </is>
      </c>
    </row>
    <row r="5">
      <c r="A5" s="2" t="inlineStr">
        <is>
          <t>Alemania</t>
        </is>
      </c>
      <c r="B5" s="2" t="n">
        <v>2020</v>
      </c>
      <c r="C5" s="3" t="n">
        <v>53796.31</v>
      </c>
      <c r="D5" s="4" t="n">
        <v>9.449999999999999</v>
      </c>
      <c r="E5" s="4" t="n">
        <v>15.09</v>
      </c>
      <c r="F5" s="4" t="n">
        <v>-6.15</v>
      </c>
      <c r="G5" s="19" t="inlineStr">
        <is>
          <t>Alta inflación</t>
        </is>
      </c>
      <c r="H5" s="10" t="n">
        <v>-100</v>
      </c>
      <c r="I5" s="10" t="inlineStr">
        <is>
          <t>Inflación moderada</t>
        </is>
      </c>
    </row>
    <row r="6">
      <c r="A6" s="2" t="inlineStr">
        <is>
          <t>Alemania</t>
        </is>
      </c>
      <c r="B6" s="2" t="n">
        <v>2021</v>
      </c>
      <c r="C6" s="3" t="n">
        <v>43047.33</v>
      </c>
      <c r="D6" s="4" t="n">
        <v>2.02</v>
      </c>
      <c r="E6" s="4" t="n">
        <v>6.23</v>
      </c>
      <c r="F6" s="4" t="n">
        <v>-6.79</v>
      </c>
      <c r="G6" s="20" t="inlineStr">
        <is>
          <t>Inflación controlada</t>
        </is>
      </c>
      <c r="H6" s="10" t="n">
        <v>2</v>
      </c>
      <c r="I6" s="10" t="inlineStr">
        <is>
          <t>Inflación controlada</t>
        </is>
      </c>
    </row>
    <row r="7">
      <c r="A7" s="2" t="inlineStr">
        <is>
          <t>Alemania</t>
        </is>
      </c>
      <c r="B7" s="2" t="n">
        <v>2022</v>
      </c>
      <c r="C7" s="3" t="n">
        <v>51480.44</v>
      </c>
      <c r="D7" s="4" t="n">
        <v>0.41</v>
      </c>
      <c r="E7" s="4" t="n">
        <v>16.5</v>
      </c>
      <c r="F7" s="4" t="n">
        <v>-1.21</v>
      </c>
      <c r="G7" s="17" t="inlineStr">
        <is>
          <t>Inflación moderada</t>
        </is>
      </c>
      <c r="H7" s="10" t="n">
        <v>5</v>
      </c>
      <c r="I7" s="10" t="inlineStr">
        <is>
          <t>Alta inflación</t>
        </is>
      </c>
    </row>
    <row r="8">
      <c r="A8" s="2" t="inlineStr">
        <is>
          <t>Alemania</t>
        </is>
      </c>
      <c r="B8" s="2" t="n">
        <v>2023</v>
      </c>
      <c r="C8" s="3" t="n">
        <v>30357.03</v>
      </c>
      <c r="D8" s="4" t="n">
        <v>3.71</v>
      </c>
      <c r="E8" s="4" t="n">
        <v>3.5</v>
      </c>
      <c r="F8" s="4" t="n">
        <v>3.71</v>
      </c>
      <c r="G8" s="20" t="inlineStr">
        <is>
          <t>Inflación controlada</t>
        </is>
      </c>
    </row>
    <row r="9">
      <c r="A9" s="2" t="inlineStr">
        <is>
          <t>España</t>
        </is>
      </c>
      <c r="B9" s="2" t="n">
        <v>2019</v>
      </c>
      <c r="C9" s="3" t="n">
        <v>39564.14</v>
      </c>
      <c r="D9" s="4" t="n">
        <v>5.8</v>
      </c>
      <c r="E9" s="4" t="n">
        <v>16.32</v>
      </c>
      <c r="F9" s="4" t="n">
        <v>0.46</v>
      </c>
      <c r="G9" s="19" t="inlineStr">
        <is>
          <t>Alta inflación</t>
        </is>
      </c>
    </row>
    <row r="10">
      <c r="A10" s="2" t="inlineStr">
        <is>
          <t>España</t>
        </is>
      </c>
      <c r="B10" s="2" t="n">
        <v>2020</v>
      </c>
      <c r="C10" s="3" t="n">
        <v>38385.14</v>
      </c>
      <c r="D10" s="4" t="n">
        <v>6.54</v>
      </c>
      <c r="E10" s="4" t="n">
        <v>11.59</v>
      </c>
      <c r="F10" s="4" t="n">
        <v>-7.77</v>
      </c>
      <c r="G10" s="19" t="inlineStr">
        <is>
          <t>Alta inflación</t>
        </is>
      </c>
    </row>
    <row r="11">
      <c r="A11" s="2" t="inlineStr">
        <is>
          <t>España</t>
        </is>
      </c>
      <c r="B11" s="2" t="n">
        <v>2021</v>
      </c>
      <c r="C11" s="3" t="n">
        <v>49929.16</v>
      </c>
      <c r="D11" s="4" t="n">
        <v>-0.15</v>
      </c>
      <c r="E11" s="4" t="n">
        <v>15.31</v>
      </c>
      <c r="F11" s="4" t="n">
        <v>4.17</v>
      </c>
      <c r="G11" s="17" t="inlineStr">
        <is>
          <t>Inflación moderada</t>
        </is>
      </c>
    </row>
    <row r="12">
      <c r="A12" s="2" t="inlineStr">
        <is>
          <t>España</t>
        </is>
      </c>
      <c r="B12" s="2" t="n">
        <v>2022</v>
      </c>
      <c r="C12" s="3" t="n">
        <v>40325.34</v>
      </c>
      <c r="D12" s="4" t="n">
        <v>8.06</v>
      </c>
      <c r="E12" s="4" t="n">
        <v>11.97</v>
      </c>
      <c r="F12" s="4" t="n">
        <v>1.28</v>
      </c>
      <c r="G12" s="19" t="inlineStr">
        <is>
          <t>Alta inflación</t>
        </is>
      </c>
    </row>
    <row r="13">
      <c r="A13" s="2" t="inlineStr">
        <is>
          <t>España</t>
        </is>
      </c>
      <c r="B13" s="2" t="n">
        <v>2023</v>
      </c>
      <c r="C13" s="3" t="n">
        <v>58328.86</v>
      </c>
      <c r="D13" s="4" t="n">
        <v>6.58</v>
      </c>
      <c r="E13" s="4" t="n">
        <v>17.77</v>
      </c>
      <c r="F13" s="4" t="n">
        <v>-1.8</v>
      </c>
      <c r="G13" s="19" t="inlineStr">
        <is>
          <t>Alta inflación</t>
        </is>
      </c>
    </row>
    <row r="14">
      <c r="A14" s="2" t="inlineStr">
        <is>
          <t>Francia</t>
        </is>
      </c>
      <c r="B14" s="2" t="n">
        <v>2019</v>
      </c>
      <c r="C14" s="3" t="n">
        <v>47563.62</v>
      </c>
      <c r="D14" s="4" t="n">
        <v>0.67</v>
      </c>
      <c r="E14" s="4" t="n">
        <v>11.61</v>
      </c>
      <c r="F14" s="4" t="n">
        <v>-5.81</v>
      </c>
      <c r="G14" s="17" t="inlineStr">
        <is>
          <t>Inflación moderada</t>
        </is>
      </c>
    </row>
    <row r="15">
      <c r="A15" s="2" t="inlineStr">
        <is>
          <t>Francia</t>
        </is>
      </c>
      <c r="B15" s="2" t="n">
        <v>2020</v>
      </c>
      <c r="C15" s="3" t="n">
        <v>56511.45</v>
      </c>
      <c r="D15" s="4" t="n">
        <v>0.36</v>
      </c>
      <c r="E15" s="4" t="n">
        <v>17.11</v>
      </c>
      <c r="F15" s="4" t="n">
        <v>-6.41</v>
      </c>
      <c r="G15" s="17" t="inlineStr">
        <is>
          <t>Inflación moderada</t>
        </is>
      </c>
    </row>
    <row r="16">
      <c r="A16" s="2" t="inlineStr">
        <is>
          <t>Francia</t>
        </is>
      </c>
      <c r="B16" s="2" t="n">
        <v>2021</v>
      </c>
      <c r="C16" s="3" t="n">
        <v>26386.02</v>
      </c>
      <c r="D16" s="4" t="n">
        <v>0.25</v>
      </c>
      <c r="E16" s="4" t="n">
        <v>16.75</v>
      </c>
      <c r="F16" s="4" t="n">
        <v>2.42</v>
      </c>
      <c r="G16" s="17" t="inlineStr">
        <is>
          <t>Inflación moderada</t>
        </is>
      </c>
    </row>
    <row r="17">
      <c r="A17" s="2" t="inlineStr">
        <is>
          <t>Francia</t>
        </is>
      </c>
      <c r="B17" s="2" t="n">
        <v>2022</v>
      </c>
      <c r="C17" s="3" t="n">
        <v>53064.37</v>
      </c>
      <c r="D17" s="4" t="n">
        <v>6.56</v>
      </c>
      <c r="E17" s="4" t="n">
        <v>13.43</v>
      </c>
      <c r="F17" s="4" t="n">
        <v>-3.19</v>
      </c>
      <c r="G17" s="19" t="inlineStr">
        <is>
          <t>Alta inflación</t>
        </is>
      </c>
    </row>
    <row r="18">
      <c r="A18" s="2" t="inlineStr">
        <is>
          <t>Francia</t>
        </is>
      </c>
      <c r="B18" s="2" t="n">
        <v>2023</v>
      </c>
      <c r="C18" s="3" t="n">
        <v>25061.87</v>
      </c>
      <c r="D18" s="4" t="n">
        <v>7.45</v>
      </c>
      <c r="E18" s="4" t="n">
        <v>11.21</v>
      </c>
      <c r="F18" s="4" t="n">
        <v>-7.1</v>
      </c>
      <c r="G18" s="19" t="inlineStr">
        <is>
          <t>Alta inflación</t>
        </is>
      </c>
    </row>
    <row r="19">
      <c r="A19" s="2" t="inlineStr">
        <is>
          <t>Grecia</t>
        </is>
      </c>
      <c r="B19" s="2" t="n">
        <v>2019</v>
      </c>
      <c r="C19" s="3" t="n">
        <v>33716.56</v>
      </c>
      <c r="D19" s="4" t="n">
        <v>2.13</v>
      </c>
      <c r="E19" s="4" t="n">
        <v>14.31</v>
      </c>
      <c r="F19" s="4" t="n">
        <v>5.34</v>
      </c>
      <c r="G19" s="20" t="inlineStr">
        <is>
          <t>Inflación controlada</t>
        </is>
      </c>
    </row>
    <row r="20">
      <c r="A20" s="2" t="inlineStr">
        <is>
          <t>Grecia</t>
        </is>
      </c>
      <c r="B20" s="2" t="n">
        <v>2020</v>
      </c>
      <c r="C20" s="3" t="n">
        <v>48110.36</v>
      </c>
      <c r="D20" s="4" t="n">
        <v>8.52</v>
      </c>
      <c r="E20" s="4" t="n">
        <v>11.49</v>
      </c>
      <c r="F20" s="4" t="n">
        <v>3.4</v>
      </c>
      <c r="G20" s="19" t="inlineStr">
        <is>
          <t>Alta inflación</t>
        </is>
      </c>
    </row>
    <row r="21">
      <c r="A21" s="2" t="inlineStr">
        <is>
          <t>Grecia</t>
        </is>
      </c>
      <c r="B21" s="2" t="n">
        <v>2021</v>
      </c>
      <c r="C21" s="3" t="n">
        <v>48800.67</v>
      </c>
      <c r="D21" s="4" t="n">
        <v>5.16</v>
      </c>
      <c r="E21" s="4" t="n">
        <v>8.16</v>
      </c>
      <c r="F21" s="4" t="n">
        <v>-3.8</v>
      </c>
      <c r="G21" s="19" t="inlineStr">
        <is>
          <t>Alta inflación</t>
        </is>
      </c>
    </row>
    <row r="22">
      <c r="A22" s="2" t="inlineStr">
        <is>
          <t>Grecia</t>
        </is>
      </c>
      <c r="B22" s="2" t="n">
        <v>2022</v>
      </c>
      <c r="C22" s="3" t="n">
        <v>42934.75</v>
      </c>
      <c r="D22" s="4" t="n">
        <v>3.98</v>
      </c>
      <c r="E22" s="4" t="n">
        <v>14.36</v>
      </c>
      <c r="F22" s="4" t="n">
        <v>5.95</v>
      </c>
      <c r="G22" s="20" t="inlineStr">
        <is>
          <t>Inflación controlada</t>
        </is>
      </c>
    </row>
    <row r="23">
      <c r="A23" s="2" t="inlineStr">
        <is>
          <t>Grecia</t>
        </is>
      </c>
      <c r="B23" s="2" t="n">
        <v>2023</v>
      </c>
      <c r="C23" s="3" t="n">
        <v>38404</v>
      </c>
      <c r="D23" s="4" t="n">
        <v>8.57</v>
      </c>
      <c r="E23" s="4" t="n">
        <v>12.99</v>
      </c>
      <c r="F23" s="4" t="n">
        <v>2.29</v>
      </c>
      <c r="G23" s="19" t="inlineStr">
        <is>
          <t>Alta inflación</t>
        </is>
      </c>
    </row>
    <row r="24">
      <c r="A24" s="2" t="inlineStr">
        <is>
          <t>Irlanda</t>
        </is>
      </c>
      <c r="B24" s="2" t="n">
        <v>2019</v>
      </c>
      <c r="C24" s="3" t="n">
        <v>26936.62</v>
      </c>
      <c r="D24" s="4" t="n">
        <v>5.64</v>
      </c>
      <c r="E24" s="4" t="n">
        <v>6.06</v>
      </c>
      <c r="F24" s="4" t="n">
        <v>-3.4</v>
      </c>
      <c r="G24" s="19" t="inlineStr">
        <is>
          <t>Alta inflación</t>
        </is>
      </c>
    </row>
    <row r="25">
      <c r="A25" s="2" t="inlineStr">
        <is>
          <t>Irlanda</t>
        </is>
      </c>
      <c r="B25" s="2" t="n">
        <v>2020</v>
      </c>
      <c r="C25" s="3" t="n">
        <v>31825.9</v>
      </c>
      <c r="D25" s="4" t="n">
        <v>3.33</v>
      </c>
      <c r="E25" s="4" t="n">
        <v>7.44</v>
      </c>
      <c r="F25" s="4" t="n">
        <v>2.49</v>
      </c>
      <c r="G25" s="20" t="inlineStr">
        <is>
          <t>Inflación controlada</t>
        </is>
      </c>
    </row>
    <row r="26">
      <c r="A26" s="2" t="inlineStr">
        <is>
          <t>Irlanda</t>
        </is>
      </c>
      <c r="B26" s="2" t="n">
        <v>2021</v>
      </c>
      <c r="C26" s="3" t="n">
        <v>47988.58</v>
      </c>
      <c r="D26" s="4" t="n">
        <v>2.06</v>
      </c>
      <c r="E26" s="4" t="n">
        <v>10.41</v>
      </c>
      <c r="F26" s="4" t="n">
        <v>3.65</v>
      </c>
      <c r="G26" s="20" t="inlineStr">
        <is>
          <t>Inflación controlada</t>
        </is>
      </c>
    </row>
    <row r="27">
      <c r="A27" s="2" t="inlineStr">
        <is>
          <t>Irlanda</t>
        </is>
      </c>
      <c r="B27" s="2" t="n">
        <v>2022</v>
      </c>
      <c r="C27" s="3" t="n">
        <v>57028.02</v>
      </c>
      <c r="D27" s="4" t="n">
        <v>4.38</v>
      </c>
      <c r="E27" s="4" t="n">
        <v>13.79</v>
      </c>
      <c r="F27" s="4" t="n">
        <v>-6.42</v>
      </c>
      <c r="G27" s="20" t="inlineStr">
        <is>
          <t>Inflación controlada</t>
        </is>
      </c>
    </row>
    <row r="28">
      <c r="A28" s="2" t="inlineStr">
        <is>
          <t>Irlanda</t>
        </is>
      </c>
      <c r="B28" s="2" t="n">
        <v>2023</v>
      </c>
      <c r="C28" s="3" t="n">
        <v>41998.02</v>
      </c>
      <c r="D28" s="4" t="n">
        <v>-0.2</v>
      </c>
      <c r="E28" s="4" t="n">
        <v>5.63</v>
      </c>
      <c r="F28" s="4" t="n">
        <v>0.65</v>
      </c>
      <c r="G28" s="17" t="inlineStr">
        <is>
          <t>Inflación moderada</t>
        </is>
      </c>
    </row>
    <row r="29">
      <c r="A29" s="2" t="inlineStr">
        <is>
          <t>Italia</t>
        </is>
      </c>
      <c r="B29" s="2" t="n">
        <v>2019</v>
      </c>
      <c r="C29" s="3" t="n">
        <v>58210.25</v>
      </c>
      <c r="D29" s="4" t="n">
        <v>7.03</v>
      </c>
      <c r="E29" s="4" t="n">
        <v>9.6</v>
      </c>
      <c r="F29" s="4" t="n">
        <v>1.16</v>
      </c>
      <c r="G29" s="19" t="inlineStr">
        <is>
          <t>Alta inflación</t>
        </is>
      </c>
    </row>
    <row r="30">
      <c r="A30" s="2" t="inlineStr">
        <is>
          <t>Italia</t>
        </is>
      </c>
      <c r="B30" s="2" t="n">
        <v>2020</v>
      </c>
      <c r="C30" s="3" t="n">
        <v>52220.95</v>
      </c>
      <c r="D30" s="4" t="n">
        <v>9.59</v>
      </c>
      <c r="E30" s="4" t="n">
        <v>16.26</v>
      </c>
      <c r="F30" s="4" t="n">
        <v>0.02</v>
      </c>
      <c r="G30" s="19" t="inlineStr">
        <is>
          <t>Alta inflación</t>
        </is>
      </c>
    </row>
    <row r="31">
      <c r="A31" s="2" t="inlineStr">
        <is>
          <t>Italia</t>
        </is>
      </c>
      <c r="B31" s="2" t="n">
        <v>2021</v>
      </c>
      <c r="C31" s="3" t="n">
        <v>28048.06</v>
      </c>
      <c r="D31" s="4" t="n">
        <v>2</v>
      </c>
      <c r="E31" s="4" t="n">
        <v>10.67</v>
      </c>
      <c r="F31" s="4" t="n">
        <v>4.99</v>
      </c>
      <c r="G31" s="20" t="inlineStr">
        <is>
          <t>Inflación controlada</t>
        </is>
      </c>
    </row>
    <row r="32">
      <c r="A32" s="2" t="inlineStr">
        <is>
          <t>Italia</t>
        </is>
      </c>
      <c r="B32" s="2" t="n">
        <v>2022</v>
      </c>
      <c r="C32" s="3" t="n">
        <v>27340.35</v>
      </c>
      <c r="D32" s="4" t="n">
        <v>5</v>
      </c>
      <c r="E32" s="4" t="n">
        <v>11.49</v>
      </c>
      <c r="F32" s="4" t="n">
        <v>4.19</v>
      </c>
      <c r="G32" s="20" t="inlineStr">
        <is>
          <t>Inflación controlada</t>
        </is>
      </c>
    </row>
    <row r="33">
      <c r="A33" s="2" t="inlineStr">
        <is>
          <t>Italia</t>
        </is>
      </c>
      <c r="B33" s="2" t="n">
        <v>2023</v>
      </c>
      <c r="C33" s="3" t="n">
        <v>29902.32</v>
      </c>
      <c r="D33" s="4" t="n">
        <v>7.45</v>
      </c>
      <c r="E33" s="4" t="n">
        <v>13.28</v>
      </c>
      <c r="F33" s="4" t="n">
        <v>-1.24</v>
      </c>
      <c r="G33" s="19" t="inlineStr">
        <is>
          <t>Alta inflación</t>
        </is>
      </c>
    </row>
    <row r="34">
      <c r="A34" s="2" t="inlineStr">
        <is>
          <t>Países Bajos</t>
        </is>
      </c>
      <c r="B34" s="2" t="n">
        <v>2019</v>
      </c>
      <c r="C34" s="3" t="n">
        <v>48265.4</v>
      </c>
      <c r="D34" s="4" t="n">
        <v>6.47</v>
      </c>
      <c r="E34" s="4" t="n">
        <v>11.41</v>
      </c>
      <c r="F34" s="4" t="n">
        <v>-7.18</v>
      </c>
      <c r="G34" s="19" t="inlineStr">
        <is>
          <t>Alta inflación</t>
        </is>
      </c>
    </row>
    <row r="35">
      <c r="A35" s="2" t="inlineStr">
        <is>
          <t>Países Bajos</t>
        </is>
      </c>
      <c r="B35" s="2" t="n">
        <v>2020</v>
      </c>
      <c r="C35" s="3" t="n">
        <v>33188.99</v>
      </c>
      <c r="D35" s="4" t="n">
        <v>2.71</v>
      </c>
      <c r="E35" s="4" t="n">
        <v>5</v>
      </c>
      <c r="F35" s="4" t="n">
        <v>-0.83</v>
      </c>
      <c r="G35" s="20" t="inlineStr">
        <is>
          <t>Inflación controlada</t>
        </is>
      </c>
    </row>
    <row r="36">
      <c r="A36" s="2" t="inlineStr">
        <is>
          <t>Países Bajos</t>
        </is>
      </c>
      <c r="B36" s="2" t="n">
        <v>2021</v>
      </c>
      <c r="C36" s="3" t="n">
        <v>37404.2</v>
      </c>
      <c r="D36" s="4" t="n">
        <v>5.3</v>
      </c>
      <c r="E36" s="4" t="n">
        <v>10.77</v>
      </c>
      <c r="F36" s="4" t="n">
        <v>-2.09</v>
      </c>
      <c r="G36" s="19" t="inlineStr">
        <is>
          <t>Alta inflación</t>
        </is>
      </c>
    </row>
    <row r="37">
      <c r="A37" s="2" t="inlineStr">
        <is>
          <t>Países Bajos</t>
        </is>
      </c>
      <c r="B37" s="2" t="n">
        <v>2022</v>
      </c>
      <c r="C37" s="3" t="n">
        <v>31514.55</v>
      </c>
      <c r="D37" s="4" t="n">
        <v>6.58</v>
      </c>
      <c r="E37" s="4" t="n">
        <v>11.02</v>
      </c>
      <c r="F37" s="4" t="n">
        <v>-4.97</v>
      </c>
      <c r="G37" s="19" t="inlineStr">
        <is>
          <t>Alta inflación</t>
        </is>
      </c>
    </row>
    <row r="38">
      <c r="A38" s="2" t="inlineStr">
        <is>
          <t>Países Bajos</t>
        </is>
      </c>
      <c r="B38" s="2" t="n">
        <v>2023</v>
      </c>
      <c r="C38" s="3" t="n">
        <v>40302.55</v>
      </c>
      <c r="D38" s="4" t="n">
        <v>9.140000000000001</v>
      </c>
      <c r="E38" s="4" t="n">
        <v>15.27</v>
      </c>
      <c r="F38" s="4" t="n">
        <v>-0.75</v>
      </c>
      <c r="G38" s="19" t="inlineStr">
        <is>
          <t>Alta inflación</t>
        </is>
      </c>
    </row>
    <row r="39">
      <c r="A39" s="2" t="inlineStr">
        <is>
          <t>Polonia</t>
        </is>
      </c>
      <c r="B39" s="2" t="n">
        <v>2019</v>
      </c>
      <c r="C39" s="3" t="n">
        <v>30669.03</v>
      </c>
      <c r="D39" s="4" t="n">
        <v>-0.13</v>
      </c>
      <c r="E39" s="4" t="n">
        <v>6.01</v>
      </c>
      <c r="F39" s="4" t="n">
        <v>3.95</v>
      </c>
      <c r="G39" s="17" t="inlineStr">
        <is>
          <t>Inflación moderada</t>
        </is>
      </c>
    </row>
    <row r="40">
      <c r="A40" s="2" t="inlineStr">
        <is>
          <t>Polonia</t>
        </is>
      </c>
      <c r="B40" s="2" t="n">
        <v>2020</v>
      </c>
      <c r="C40" s="3" t="n">
        <v>49873.54</v>
      </c>
      <c r="D40" s="4" t="n">
        <v>1.41</v>
      </c>
      <c r="E40" s="4" t="n">
        <v>16.1</v>
      </c>
      <c r="F40" s="4" t="n">
        <v>-5.78</v>
      </c>
      <c r="G40" s="17" t="inlineStr">
        <is>
          <t>Inflación moderada</t>
        </is>
      </c>
    </row>
    <row r="41">
      <c r="A41" s="2" t="inlineStr">
        <is>
          <t>Polonia</t>
        </is>
      </c>
      <c r="B41" s="2" t="n">
        <v>2021</v>
      </c>
      <c r="C41" s="3" t="n">
        <v>38214.89</v>
      </c>
      <c r="D41" s="4" t="n">
        <v>-0.44</v>
      </c>
      <c r="E41" s="4" t="n">
        <v>15.67</v>
      </c>
      <c r="F41" s="4" t="n">
        <v>1.55</v>
      </c>
      <c r="G41" s="17" t="inlineStr">
        <is>
          <t>Inflación moderada</t>
        </is>
      </c>
    </row>
    <row r="42">
      <c r="A42" s="2" t="inlineStr">
        <is>
          <t>Polonia</t>
        </is>
      </c>
      <c r="B42" s="2" t="n">
        <v>2022</v>
      </c>
      <c r="C42" s="3" t="n">
        <v>41651.9</v>
      </c>
      <c r="D42" s="4" t="n">
        <v>3.94</v>
      </c>
      <c r="E42" s="4" t="n">
        <v>7.38</v>
      </c>
      <c r="F42" s="4" t="n">
        <v>2.14</v>
      </c>
      <c r="G42" s="20" t="inlineStr">
        <is>
          <t>Inflación controlada</t>
        </is>
      </c>
    </row>
    <row r="43">
      <c r="A43" s="2" t="inlineStr">
        <is>
          <t>Polonia</t>
        </is>
      </c>
      <c r="B43" s="2" t="n">
        <v>2023</v>
      </c>
      <c r="C43" s="3" t="n">
        <v>55333.15</v>
      </c>
      <c r="D43" s="4" t="n">
        <v>7.05</v>
      </c>
      <c r="E43" s="4" t="n">
        <v>10.75</v>
      </c>
      <c r="F43" s="4" t="n">
        <v>-1.69</v>
      </c>
      <c r="G43" s="19" t="inlineStr">
        <is>
          <t>Alta inflación</t>
        </is>
      </c>
    </row>
    <row r="44">
      <c r="A44" s="2" t="inlineStr">
        <is>
          <t>Portugal</t>
        </is>
      </c>
      <c r="B44" s="2" t="n">
        <v>2019</v>
      </c>
      <c r="C44" s="3" t="n">
        <v>31813.17</v>
      </c>
      <c r="D44" s="4" t="n">
        <v>1.82</v>
      </c>
      <c r="E44" s="4" t="n">
        <v>12.57</v>
      </c>
      <c r="F44" s="4" t="n">
        <v>0.62</v>
      </c>
      <c r="G44" s="17" t="inlineStr">
        <is>
          <t>Inflación moderada</t>
        </is>
      </c>
    </row>
    <row r="45">
      <c r="A45" s="2" t="inlineStr">
        <is>
          <t>Portugal</t>
        </is>
      </c>
      <c r="B45" s="2" t="n">
        <v>2020</v>
      </c>
      <c r="C45" s="3" t="n">
        <v>50619.34</v>
      </c>
      <c r="D45" s="4" t="n">
        <v>9.65</v>
      </c>
      <c r="E45" s="4" t="n">
        <v>6.78</v>
      </c>
      <c r="F45" s="4" t="n">
        <v>3.76</v>
      </c>
      <c r="G45" s="19" t="inlineStr">
        <is>
          <t>Alta inflación</t>
        </is>
      </c>
    </row>
    <row r="46">
      <c r="A46" s="2" t="inlineStr">
        <is>
          <t>Portugal</t>
        </is>
      </c>
      <c r="B46" s="2" t="n">
        <v>2021</v>
      </c>
      <c r="C46" s="3" t="n">
        <v>35978.78</v>
      </c>
      <c r="D46" s="4" t="n">
        <v>2.1</v>
      </c>
      <c r="E46" s="4" t="n">
        <v>4.99</v>
      </c>
      <c r="F46" s="4" t="n">
        <v>-1.76</v>
      </c>
      <c r="G46" s="20" t="inlineStr">
        <is>
          <t>Inflación controlada</t>
        </is>
      </c>
    </row>
    <row r="47">
      <c r="A47" s="2" t="inlineStr">
        <is>
          <t>Portugal</t>
        </is>
      </c>
      <c r="B47" s="2" t="n">
        <v>2022</v>
      </c>
      <c r="C47" s="3" t="n">
        <v>42802.04</v>
      </c>
      <c r="D47" s="4" t="n">
        <v>-0.07000000000000001</v>
      </c>
      <c r="E47" s="4" t="n">
        <v>10.04</v>
      </c>
      <c r="F47" s="4" t="n">
        <v>-7.02</v>
      </c>
      <c r="G47" s="17" t="inlineStr">
        <is>
          <t>Inflación moderada</t>
        </is>
      </c>
    </row>
    <row r="48">
      <c r="A48" s="2" t="inlineStr">
        <is>
          <t>Portugal</t>
        </is>
      </c>
      <c r="B48" s="2" t="n">
        <v>2023</v>
      </c>
      <c r="C48" s="3" t="n">
        <v>32187.79</v>
      </c>
      <c r="D48" s="4" t="n">
        <v>3.97</v>
      </c>
      <c r="E48" s="4" t="n">
        <v>3.41</v>
      </c>
      <c r="F48" s="4" t="n">
        <v>2.41</v>
      </c>
      <c r="G48" s="20" t="inlineStr">
        <is>
          <t>Inflación controlada</t>
        </is>
      </c>
    </row>
    <row r="49">
      <c r="A49" s="2" t="inlineStr">
        <is>
          <t>Suecia</t>
        </is>
      </c>
      <c r="B49" s="2" t="n">
        <v>2019</v>
      </c>
      <c r="C49" s="3" t="n">
        <v>42634.04</v>
      </c>
      <c r="D49" s="4" t="n">
        <v>3.55</v>
      </c>
      <c r="E49" s="4" t="n">
        <v>16.13</v>
      </c>
      <c r="F49" s="4" t="n">
        <v>1.03</v>
      </c>
      <c r="G49" s="20" t="inlineStr">
        <is>
          <t>Inflación controlada</t>
        </is>
      </c>
    </row>
    <row r="50">
      <c r="A50" s="2" t="inlineStr">
        <is>
          <t>Suecia</t>
        </is>
      </c>
      <c r="B50" s="2" t="n">
        <v>2020</v>
      </c>
      <c r="C50" s="3" t="n">
        <v>59833.03</v>
      </c>
      <c r="D50" s="4" t="n">
        <v>8.699999999999999</v>
      </c>
      <c r="E50" s="4" t="n">
        <v>9.470000000000001</v>
      </c>
      <c r="F50" s="4" t="n">
        <v>-3.86</v>
      </c>
      <c r="G50" s="19" t="inlineStr">
        <is>
          <t>Alta inflación</t>
        </is>
      </c>
    </row>
    <row r="51">
      <c r="A51" s="2" t="inlineStr">
        <is>
          <t>Suecia</t>
        </is>
      </c>
      <c r="B51" s="2" t="n">
        <v>2021</v>
      </c>
      <c r="C51" s="3" t="n">
        <v>43260.41</v>
      </c>
      <c r="D51" s="4" t="n">
        <v>6.07</v>
      </c>
      <c r="E51" s="4" t="n">
        <v>10.95</v>
      </c>
      <c r="F51" s="4" t="n">
        <v>1.73</v>
      </c>
      <c r="G51" s="19" t="inlineStr">
        <is>
          <t>Alta inflación</t>
        </is>
      </c>
    </row>
    <row r="52">
      <c r="A52" s="2" t="inlineStr">
        <is>
          <t>Suecia</t>
        </is>
      </c>
      <c r="B52" s="2" t="n">
        <v>2022</v>
      </c>
      <c r="C52" s="3" t="n">
        <v>50017.43</v>
      </c>
      <c r="D52" s="4" t="n">
        <v>2.53</v>
      </c>
      <c r="E52" s="4" t="n">
        <v>8.75</v>
      </c>
      <c r="F52" s="4" t="n">
        <v>-6.13</v>
      </c>
      <c r="G52" s="20" t="inlineStr">
        <is>
          <t>Inflación controlada</t>
        </is>
      </c>
    </row>
    <row r="53">
      <c r="A53" s="2" t="inlineStr">
        <is>
          <t>Suecia</t>
        </is>
      </c>
      <c r="B53" s="2" t="n">
        <v>2023</v>
      </c>
      <c r="C53" s="3" t="n">
        <v>29420.06</v>
      </c>
      <c r="D53" s="4" t="n">
        <v>1.78</v>
      </c>
      <c r="E53" s="4" t="n">
        <v>11.18</v>
      </c>
      <c r="F53" s="4" t="n">
        <v>-6.94</v>
      </c>
      <c r="G53" s="17" t="inlineStr">
        <is>
          <t>Inflación moderada</t>
        </is>
      </c>
    </row>
    <row r="54"/>
    <row r="55"/>
    <row r="56">
      <c r="A56" s="16" t="inlineStr">
        <is>
          <t>FÓRMULAS BUSCARV — Clasificación automática de inflación de España</t>
        </is>
      </c>
    </row>
    <row r="57">
      <c r="A57" s="18" t="inlineStr">
        <is>
          <t>Año</t>
        </is>
      </c>
      <c r="B57" s="18" t="inlineStr">
        <is>
          <t>Inflación España</t>
        </is>
      </c>
      <c r="C57" s="18" t="inlineStr">
        <is>
          <t>Clasificación (BUSCARV)</t>
        </is>
      </c>
    </row>
    <row r="58">
      <c r="A58" s="10" t="n">
        <v>2019</v>
      </c>
      <c r="B58" s="21" t="n">
        <v>5.8</v>
      </c>
      <c r="C58" s="10">
        <f>VLOOKUP(B58,$H$5:$I$7,2,TRUE)</f>
        <v/>
      </c>
    </row>
    <row r="59">
      <c r="A59" s="10" t="n">
        <v>2020</v>
      </c>
      <c r="B59" s="21" t="n">
        <v>6.54</v>
      </c>
      <c r="C59" s="10">
        <f>VLOOKUP(B59,$H$5:$I$7,2,TRUE)</f>
        <v/>
      </c>
    </row>
    <row r="60">
      <c r="A60" s="10" t="n">
        <v>2021</v>
      </c>
      <c r="B60" s="21" t="n">
        <v>-0.15</v>
      </c>
      <c r="C60" s="10">
        <f>VLOOKUP(B60,$H$5:$I$7,2,TRUE)</f>
        <v/>
      </c>
    </row>
    <row r="61">
      <c r="A61" s="10" t="n">
        <v>2022</v>
      </c>
      <c r="B61" s="21" t="n">
        <v>8.06</v>
      </c>
      <c r="C61" s="10">
        <f>VLOOKUP(B61,$H$5:$I$7,2,TRUE)</f>
        <v/>
      </c>
    </row>
    <row r="62">
      <c r="A62" s="10" t="n">
        <v>2023</v>
      </c>
      <c r="B62" s="21" t="n">
        <v>6.58</v>
      </c>
      <c r="C62" s="10">
        <f>VLOOKUP(B62,$H$5:$I$7,2,TRUE)</f>
        <v/>
      </c>
    </row>
  </sheetData>
  <mergeCells count="2">
    <mergeCell ref="A56:G56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 ht="40" customHeight="1">
      <c r="A1" s="22" t="inlineStr">
        <is>
          <t>DASHBOARD MACROECONÓMICO EUROPEO</t>
        </is>
      </c>
    </row>
    <row r="2">
      <c r="A2" s="23" t="inlineStr">
        <is>
          <t>Análisis comparativo de indicadores económicos (2019-2023) — Datos simulados</t>
        </is>
      </c>
    </row>
    <row r="35">
      <c r="A35" s="24" t="inlineStr">
        <is>
          <t>País</t>
        </is>
      </c>
      <c r="B35" s="24" t="inlineStr">
        <is>
          <t>PIB Medio €</t>
        </is>
      </c>
      <c r="C35" s="24" t="inlineStr">
        <is>
          <t>Desempleo Medio %</t>
        </is>
      </c>
      <c r="D35" s="24" t="inlineStr">
        <is>
          <t>Inflación Media %</t>
        </is>
      </c>
    </row>
    <row r="36">
      <c r="A36" t="inlineStr">
        <is>
          <t>España</t>
        </is>
      </c>
      <c r="B36" t="n">
        <v>45306.53</v>
      </c>
      <c r="C36" t="n">
        <v>14.59</v>
      </c>
      <c r="D36" t="n">
        <v>5.37</v>
      </c>
    </row>
    <row r="37">
      <c r="A37" t="inlineStr">
        <is>
          <t>Francia</t>
        </is>
      </c>
      <c r="B37" t="n">
        <v>41717.47</v>
      </c>
      <c r="C37" t="n">
        <v>14.02</v>
      </c>
      <c r="D37" t="n">
        <v>3.06</v>
      </c>
    </row>
    <row r="38">
      <c r="A38" t="inlineStr">
        <is>
          <t>Alemania</t>
        </is>
      </c>
      <c r="B38" t="n">
        <v>46947.98</v>
      </c>
      <c r="C38" t="n">
        <v>10.59</v>
      </c>
      <c r="D38" t="n">
        <v>3.23</v>
      </c>
    </row>
    <row r="39">
      <c r="A39" t="inlineStr">
        <is>
          <t>Italia</t>
        </is>
      </c>
      <c r="B39" t="n">
        <v>39144.39</v>
      </c>
      <c r="C39" t="n">
        <v>12.26</v>
      </c>
      <c r="D39" t="n">
        <v>6.21</v>
      </c>
    </row>
    <row r="40">
      <c r="A40" t="inlineStr">
        <is>
          <t>Portugal</t>
        </is>
      </c>
      <c r="B40" t="n">
        <v>38680.22</v>
      </c>
      <c r="C40" t="n">
        <v>7.56</v>
      </c>
      <c r="D40" t="n">
        <v>3.49</v>
      </c>
    </row>
    <row r="41">
      <c r="A41" t="inlineStr">
        <is>
          <t>Grecia</t>
        </is>
      </c>
      <c r="B41" t="n">
        <v>42393.27</v>
      </c>
      <c r="C41" t="n">
        <v>12.26</v>
      </c>
      <c r="D41" t="n">
        <v>5.67</v>
      </c>
    </row>
    <row r="42">
      <c r="A42" t="inlineStr">
        <is>
          <t>Países Bajos</t>
        </is>
      </c>
      <c r="B42" t="n">
        <v>38135.14</v>
      </c>
      <c r="C42" t="n">
        <v>10.69</v>
      </c>
      <c r="D42" t="n">
        <v>6.04</v>
      </c>
    </row>
    <row r="43">
      <c r="A43" t="inlineStr">
        <is>
          <t>Suecia</t>
        </is>
      </c>
      <c r="B43" t="n">
        <v>45032.99</v>
      </c>
      <c r="C43" t="n">
        <v>11.3</v>
      </c>
      <c r="D43" t="n">
        <v>4.53</v>
      </c>
    </row>
    <row r="44">
      <c r="A44" t="inlineStr">
        <is>
          <t>Polonia</t>
        </is>
      </c>
      <c r="B44" t="n">
        <v>43148.5</v>
      </c>
      <c r="C44" t="n">
        <v>11.18</v>
      </c>
      <c r="D44" t="n">
        <v>2.37</v>
      </c>
    </row>
    <row r="45">
      <c r="A45" t="inlineStr">
        <is>
          <t>Irlanda</t>
        </is>
      </c>
      <c r="B45" t="n">
        <v>41155.43</v>
      </c>
      <c r="C45" t="n">
        <v>8.67</v>
      </c>
      <c r="D45" t="n">
        <v>3.04</v>
      </c>
    </row>
    <row r="48">
      <c r="A48" s="24" t="inlineStr">
        <is>
          <t>Año</t>
        </is>
      </c>
      <c r="B48" s="24" t="inlineStr">
        <is>
          <t>España</t>
        </is>
      </c>
      <c r="C48" s="24" t="inlineStr">
        <is>
          <t>Francia</t>
        </is>
      </c>
      <c r="D48" s="24" t="inlineStr">
        <is>
          <t>Alemania</t>
        </is>
      </c>
      <c r="E48" s="24" t="inlineStr">
        <is>
          <t>Italia</t>
        </is>
      </c>
      <c r="F48" s="24" t="inlineStr">
        <is>
          <t>Portugal</t>
        </is>
      </c>
      <c r="G48" s="24" t="inlineStr">
        <is>
          <t>Grecia</t>
        </is>
      </c>
      <c r="H48" s="24" t="inlineStr">
        <is>
          <t>Países Bajos</t>
        </is>
      </c>
      <c r="I48" s="24" t="inlineStr">
        <is>
          <t>Suecia</t>
        </is>
      </c>
      <c r="J48" s="24" t="inlineStr">
        <is>
          <t>Polonia</t>
        </is>
      </c>
      <c r="K48" s="24" t="inlineStr">
        <is>
          <t>Irlanda</t>
        </is>
      </c>
    </row>
    <row r="49">
      <c r="A49" t="n">
        <v>2019</v>
      </c>
      <c r="B49" t="n">
        <v>39564.14</v>
      </c>
      <c r="C49" t="n">
        <v>47563.62</v>
      </c>
      <c r="D49" t="n">
        <v>56058.77</v>
      </c>
      <c r="E49" t="n">
        <v>58210.25</v>
      </c>
      <c r="F49" t="n">
        <v>31813.17</v>
      </c>
      <c r="G49" t="n">
        <v>33716.56</v>
      </c>
      <c r="H49" t="n">
        <v>48265.4</v>
      </c>
      <c r="I49" t="n">
        <v>42634.04</v>
      </c>
      <c r="J49" t="n">
        <v>30669.03</v>
      </c>
      <c r="K49" t="n">
        <v>26936.62</v>
      </c>
    </row>
    <row r="50">
      <c r="A50" t="n">
        <v>2020</v>
      </c>
      <c r="B50" t="n">
        <v>38385.14</v>
      </c>
      <c r="C50" t="n">
        <v>56511.45</v>
      </c>
      <c r="D50" t="n">
        <v>53796.31</v>
      </c>
      <c r="E50" t="n">
        <v>52220.95</v>
      </c>
      <c r="F50" t="n">
        <v>50619.34</v>
      </c>
      <c r="G50" t="n">
        <v>48110.36</v>
      </c>
      <c r="H50" t="n">
        <v>33188.99</v>
      </c>
      <c r="I50" t="n">
        <v>59833.03</v>
      </c>
      <c r="J50" t="n">
        <v>49873.54</v>
      </c>
      <c r="K50" t="n">
        <v>31825.9</v>
      </c>
    </row>
    <row r="51">
      <c r="A51" t="n">
        <v>2021</v>
      </c>
      <c r="B51" t="n">
        <v>49929.16</v>
      </c>
      <c r="C51" t="n">
        <v>26386.02</v>
      </c>
      <c r="D51" t="n">
        <v>43047.33</v>
      </c>
      <c r="E51" t="n">
        <v>28048.06</v>
      </c>
      <c r="F51" t="n">
        <v>35978.78</v>
      </c>
      <c r="G51" t="n">
        <v>48800.67</v>
      </c>
      <c r="H51" t="n">
        <v>37404.2</v>
      </c>
      <c r="I51" t="n">
        <v>43260.41</v>
      </c>
      <c r="J51" t="n">
        <v>38214.89</v>
      </c>
      <c r="K51" t="n">
        <v>47988.58</v>
      </c>
    </row>
    <row r="52">
      <c r="A52" t="n">
        <v>2022</v>
      </c>
      <c r="B52" t="n">
        <v>40325.34</v>
      </c>
      <c r="C52" t="n">
        <v>53064.37</v>
      </c>
      <c r="D52" t="n">
        <v>51480.44</v>
      </c>
      <c r="E52" t="n">
        <v>27340.35</v>
      </c>
      <c r="F52" t="n">
        <v>42802.04</v>
      </c>
      <c r="G52" t="n">
        <v>42934.75</v>
      </c>
      <c r="H52" t="n">
        <v>31514.55</v>
      </c>
      <c r="I52" t="n">
        <v>50017.43</v>
      </c>
      <c r="J52" t="n">
        <v>41651.9</v>
      </c>
      <c r="K52" t="n">
        <v>57028.02</v>
      </c>
    </row>
    <row r="53">
      <c r="A53" t="n">
        <v>2023</v>
      </c>
      <c r="B53" t="n">
        <v>58328.86</v>
      </c>
      <c r="C53" t="n">
        <v>25061.87</v>
      </c>
      <c r="D53" t="n">
        <v>30357.03</v>
      </c>
      <c r="E53" t="n">
        <v>29902.32</v>
      </c>
      <c r="F53" t="n">
        <v>32187.79</v>
      </c>
      <c r="G53" t="n">
        <v>38404</v>
      </c>
      <c r="H53" t="n">
        <v>40302.55</v>
      </c>
      <c r="I53" t="n">
        <v>29420.06</v>
      </c>
      <c r="J53" t="n">
        <v>55333.15</v>
      </c>
      <c r="K53" t="n">
        <v>41998.02</v>
      </c>
    </row>
  </sheetData>
  <mergeCells count="2">
    <mergeCell ref="A1:O1"/>
    <mergeCell ref="A2:O2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6" customWidth="1" min="3" max="3"/>
  </cols>
  <sheetData>
    <row r="1">
      <c r="A1" s="5" t="inlineStr">
        <is>
          <t>TABLA DINÁMICA — PIB medio por país</t>
        </is>
      </c>
    </row>
    <row r="2"/>
    <row r="3">
      <c r="A3" s="1" t="inlineStr">
        <is>
          <t>País</t>
        </is>
      </c>
      <c r="B3" s="1" t="inlineStr">
        <is>
          <t>PIB Medio (€)</t>
        </is>
      </c>
      <c r="C3" s="1" t="inlineStr">
        <is>
          <t>Nº Registros</t>
        </is>
      </c>
    </row>
    <row r="4">
      <c r="A4" s="6" t="inlineStr">
        <is>
          <t>España</t>
        </is>
      </c>
      <c r="B4" s="11" t="n">
        <v>45306.53</v>
      </c>
      <c r="C4" s="10" t="n">
        <v>5</v>
      </c>
    </row>
    <row r="5">
      <c r="A5" s="6" t="inlineStr">
        <is>
          <t>Francia</t>
        </is>
      </c>
      <c r="B5" s="11" t="n">
        <v>41717.47</v>
      </c>
      <c r="C5" s="10" t="n">
        <v>5</v>
      </c>
    </row>
    <row r="6">
      <c r="A6" s="6" t="inlineStr">
        <is>
          <t>Alemania</t>
        </is>
      </c>
      <c r="B6" s="11" t="n">
        <v>46947.98</v>
      </c>
      <c r="C6" s="10" t="n">
        <v>5</v>
      </c>
    </row>
    <row r="7">
      <c r="A7" s="6" t="inlineStr">
        <is>
          <t>Italia</t>
        </is>
      </c>
      <c r="B7" s="11" t="n">
        <v>39144.39</v>
      </c>
      <c r="C7" s="10" t="n">
        <v>5</v>
      </c>
    </row>
    <row r="8">
      <c r="A8" s="6" t="inlineStr">
        <is>
          <t>Portugal</t>
        </is>
      </c>
      <c r="B8" s="11" t="n">
        <v>38680.22</v>
      </c>
      <c r="C8" s="10" t="n">
        <v>5</v>
      </c>
    </row>
    <row r="9">
      <c r="A9" s="6" t="inlineStr">
        <is>
          <t>Grecia</t>
        </is>
      </c>
      <c r="B9" s="11" t="n">
        <v>42393.27</v>
      </c>
      <c r="C9" s="10" t="n">
        <v>5</v>
      </c>
    </row>
    <row r="10">
      <c r="A10" s="6" t="inlineStr">
        <is>
          <t>Países Bajos</t>
        </is>
      </c>
      <c r="B10" s="11" t="n">
        <v>38135.14</v>
      </c>
      <c r="C10" s="10" t="n">
        <v>5</v>
      </c>
    </row>
    <row r="11">
      <c r="A11" s="6" t="inlineStr">
        <is>
          <t>Suecia</t>
        </is>
      </c>
      <c r="B11" s="11" t="n">
        <v>45032.99</v>
      </c>
      <c r="C11" s="10" t="n">
        <v>5</v>
      </c>
    </row>
    <row r="12">
      <c r="A12" s="6" t="inlineStr">
        <is>
          <t>Polonia</t>
        </is>
      </c>
      <c r="B12" s="11" t="n">
        <v>43148.5</v>
      </c>
      <c r="C12" s="10" t="n">
        <v>5</v>
      </c>
    </row>
    <row r="13">
      <c r="A13" s="6" t="inlineStr">
        <is>
          <t>Irlanda</t>
        </is>
      </c>
      <c r="B13" s="11" t="n">
        <v>41155.43</v>
      </c>
      <c r="C13" s="10" t="n">
        <v>5</v>
      </c>
    </row>
    <row r="14">
      <c r="A14" s="25" t="inlineStr">
        <is>
          <t>TOTAL GENERAL</t>
        </is>
      </c>
      <c r="B14" s="26" t="n">
        <v>42166.19</v>
      </c>
      <c r="C14" s="25" t="n">
        <v>50</v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3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5" t="inlineStr">
        <is>
          <t>TABLA DINÁMICA — Desempleo medio por país y año (con segmentación)</t>
        </is>
      </c>
    </row>
    <row r="2"/>
    <row r="3">
      <c r="A3" s="1" t="inlineStr">
        <is>
          <t>País</t>
        </is>
      </c>
      <c r="B3" s="1" t="inlineStr">
        <is>
          <t>2019</t>
        </is>
      </c>
      <c r="C3" s="1" t="inlineStr">
        <is>
          <t>2020</t>
        </is>
      </c>
      <c r="D3" s="1" t="inlineStr">
        <is>
          <t>2021</t>
        </is>
      </c>
      <c r="E3" s="1" t="inlineStr">
        <is>
          <t>2022</t>
        </is>
      </c>
      <c r="F3" s="1" t="inlineStr">
        <is>
          <t>2023</t>
        </is>
      </c>
      <c r="G3" s="1" t="inlineStr">
        <is>
          <t>Promedio General</t>
        </is>
      </c>
    </row>
    <row r="4">
      <c r="A4" s="6" t="inlineStr">
        <is>
          <t>España</t>
        </is>
      </c>
      <c r="B4" s="27" t="n">
        <v>16.32</v>
      </c>
      <c r="C4" s="8" t="n">
        <v>11.59</v>
      </c>
      <c r="D4" s="27" t="n">
        <v>15.31</v>
      </c>
      <c r="E4" s="8" t="n">
        <v>11.97</v>
      </c>
      <c r="F4" s="27" t="n">
        <v>17.77</v>
      </c>
      <c r="G4" s="28" t="n">
        <v>14.59</v>
      </c>
    </row>
    <row r="5">
      <c r="A5" s="6" t="inlineStr">
        <is>
          <t>Francia</t>
        </is>
      </c>
      <c r="B5" s="8" t="n">
        <v>11.61</v>
      </c>
      <c r="C5" s="27" t="n">
        <v>17.11</v>
      </c>
      <c r="D5" s="27" t="n">
        <v>16.75</v>
      </c>
      <c r="E5" s="27" t="n">
        <v>13.43</v>
      </c>
      <c r="F5" s="8" t="n">
        <v>11.21</v>
      </c>
      <c r="G5" s="28" t="n">
        <v>14.02</v>
      </c>
    </row>
    <row r="6">
      <c r="A6" s="6" t="inlineStr">
        <is>
          <t>Alemania</t>
        </is>
      </c>
      <c r="B6" s="8" t="n">
        <v>11.64</v>
      </c>
      <c r="C6" s="27" t="n">
        <v>15.09</v>
      </c>
      <c r="D6" s="8" t="n">
        <v>6.23</v>
      </c>
      <c r="E6" s="27" t="n">
        <v>16.5</v>
      </c>
      <c r="F6" s="8" t="n">
        <v>3.5</v>
      </c>
      <c r="G6" s="28" t="n">
        <v>10.59</v>
      </c>
    </row>
    <row r="7">
      <c r="A7" s="6" t="inlineStr">
        <is>
          <t>Italia</t>
        </is>
      </c>
      <c r="B7" s="8" t="n">
        <v>9.6</v>
      </c>
      <c r="C7" s="27" t="n">
        <v>16.26</v>
      </c>
      <c r="D7" s="8" t="n">
        <v>10.67</v>
      </c>
      <c r="E7" s="8" t="n">
        <v>11.49</v>
      </c>
      <c r="F7" s="27" t="n">
        <v>13.28</v>
      </c>
      <c r="G7" s="28" t="n">
        <v>12.26</v>
      </c>
    </row>
    <row r="8">
      <c r="A8" s="6" t="inlineStr">
        <is>
          <t>Portugal</t>
        </is>
      </c>
      <c r="B8" s="27" t="n">
        <v>12.57</v>
      </c>
      <c r="C8" s="8" t="n">
        <v>6.78</v>
      </c>
      <c r="D8" s="8" t="n">
        <v>4.99</v>
      </c>
      <c r="E8" s="8" t="n">
        <v>10.04</v>
      </c>
      <c r="F8" s="8" t="n">
        <v>3.41</v>
      </c>
      <c r="G8" s="28" t="n">
        <v>7.56</v>
      </c>
    </row>
    <row r="9">
      <c r="A9" s="6" t="inlineStr">
        <is>
          <t>Grecia</t>
        </is>
      </c>
      <c r="B9" s="27" t="n">
        <v>14.31</v>
      </c>
      <c r="C9" s="8" t="n">
        <v>11.49</v>
      </c>
      <c r="D9" s="8" t="n">
        <v>8.16</v>
      </c>
      <c r="E9" s="27" t="n">
        <v>14.36</v>
      </c>
      <c r="F9" s="27" t="n">
        <v>12.99</v>
      </c>
      <c r="G9" s="28" t="n">
        <v>12.26</v>
      </c>
    </row>
    <row r="10">
      <c r="A10" s="6" t="inlineStr">
        <is>
          <t>Países Bajos</t>
        </is>
      </c>
      <c r="B10" s="8" t="n">
        <v>11.41</v>
      </c>
      <c r="C10" s="8" t="n">
        <v>5</v>
      </c>
      <c r="D10" s="8" t="n">
        <v>10.77</v>
      </c>
      <c r="E10" s="8" t="n">
        <v>11.02</v>
      </c>
      <c r="F10" s="27" t="n">
        <v>15.27</v>
      </c>
      <c r="G10" s="28" t="n">
        <v>10.69</v>
      </c>
    </row>
    <row r="11">
      <c r="A11" s="6" t="inlineStr">
        <is>
          <t>Suecia</t>
        </is>
      </c>
      <c r="B11" s="27" t="n">
        <v>16.13</v>
      </c>
      <c r="C11" s="8" t="n">
        <v>9.470000000000001</v>
      </c>
      <c r="D11" s="8" t="n">
        <v>10.95</v>
      </c>
      <c r="E11" s="8" t="n">
        <v>8.75</v>
      </c>
      <c r="F11" s="8" t="n">
        <v>11.18</v>
      </c>
      <c r="G11" s="28" t="n">
        <v>11.3</v>
      </c>
    </row>
    <row r="12">
      <c r="A12" s="6" t="inlineStr">
        <is>
          <t>Polonia</t>
        </is>
      </c>
      <c r="B12" s="8" t="n">
        <v>6.01</v>
      </c>
      <c r="C12" s="27" t="n">
        <v>16.1</v>
      </c>
      <c r="D12" s="27" t="n">
        <v>15.67</v>
      </c>
      <c r="E12" s="8" t="n">
        <v>7.38</v>
      </c>
      <c r="F12" s="8" t="n">
        <v>10.75</v>
      </c>
      <c r="G12" s="28" t="n">
        <v>11.18</v>
      </c>
    </row>
    <row r="13">
      <c r="A13" s="6" t="inlineStr">
        <is>
          <t>Irlanda</t>
        </is>
      </c>
      <c r="B13" s="8" t="n">
        <v>6.06</v>
      </c>
      <c r="C13" s="8" t="n">
        <v>7.44</v>
      </c>
      <c r="D13" s="8" t="n">
        <v>10.41</v>
      </c>
      <c r="E13" s="27" t="n">
        <v>13.79</v>
      </c>
      <c r="F13" s="8" t="n">
        <v>5.63</v>
      </c>
      <c r="G13" s="28" t="n">
        <v>8.67</v>
      </c>
    </row>
    <row r="14"/>
    <row r="15"/>
    <row r="16">
      <c r="A16" s="29" t="inlineStr">
        <is>
          <t>NOTA: En Excel, insertar Segmentación de datos (Slicer) desde Insertar → Segmentación de datos para filtrar por año interactivamente.</t>
        </is>
      </c>
    </row>
  </sheetData>
  <mergeCells count="2">
    <mergeCell ref="A16:G16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8" customWidth="1" min="1" max="1"/>
    <col width="21" customWidth="1" min="2" max="2"/>
    <col width="24" customWidth="1" min="3" max="3"/>
    <col width="14" customWidth="1" min="4" max="4"/>
    <col width="18" customWidth="1" min="5" max="5"/>
    <col width="14" customWidth="1" min="6" max="6"/>
  </cols>
  <sheetData>
    <row r="1">
      <c r="A1" s="5" t="inlineStr">
        <is>
          <t>ANÁLISIS DE CORRELACIÓN DE PEARSON — España (2019-2023)</t>
        </is>
      </c>
    </row>
    <row r="2"/>
    <row r="3">
      <c r="A3" s="16" t="inlineStr">
        <is>
          <t>Variable X: Desempleo_% de España</t>
        </is>
      </c>
    </row>
    <row r="4">
      <c r="A4" s="16" t="inlineStr">
        <is>
          <t>Variable Y: PIB_per_capita_€ de España</t>
        </is>
      </c>
    </row>
    <row r="5"/>
    <row r="6">
      <c r="A6" s="1" t="inlineStr">
        <is>
          <t>Año</t>
        </is>
      </c>
      <c r="B6" s="1" t="inlineStr">
        <is>
          <t>Desempleo_% (X)</t>
        </is>
      </c>
      <c r="C6" s="1" t="inlineStr">
        <is>
          <t>PIB_per_capita_€ (Y)</t>
        </is>
      </c>
      <c r="D6" s="1" t="inlineStr">
        <is>
          <t>X²</t>
        </is>
      </c>
      <c r="E6" s="1" t="inlineStr">
        <is>
          <t>Y²</t>
        </is>
      </c>
      <c r="F6" s="1" t="inlineStr">
        <is>
          <t>X·Y</t>
        </is>
      </c>
    </row>
    <row r="7">
      <c r="A7" s="10" t="n">
        <v>2019</v>
      </c>
      <c r="B7" s="21" t="n">
        <v>16.32</v>
      </c>
      <c r="C7" s="11" t="n">
        <v>39564.14</v>
      </c>
      <c r="D7" s="10" t="n">
        <v>266.3424</v>
      </c>
      <c r="E7" s="10" t="n">
        <v>1565321173.94</v>
      </c>
      <c r="F7" s="10" t="n">
        <v>645686.76</v>
      </c>
    </row>
    <row r="8">
      <c r="A8" s="10" t="n">
        <v>2020</v>
      </c>
      <c r="B8" s="21" t="n">
        <v>11.59</v>
      </c>
      <c r="C8" s="11" t="n">
        <v>38385.14</v>
      </c>
      <c r="D8" s="10" t="n">
        <v>134.3281</v>
      </c>
      <c r="E8" s="10" t="n">
        <v>1473418972.82</v>
      </c>
      <c r="F8" s="10" t="n">
        <v>444883.77</v>
      </c>
    </row>
    <row r="9">
      <c r="A9" s="10" t="n">
        <v>2021</v>
      </c>
      <c r="B9" s="21" t="n">
        <v>15.31</v>
      </c>
      <c r="C9" s="11" t="n">
        <v>49929.16</v>
      </c>
      <c r="D9" s="10" t="n">
        <v>234.3961</v>
      </c>
      <c r="E9" s="10" t="n">
        <v>2492921018.31</v>
      </c>
      <c r="F9" s="10" t="n">
        <v>764415.4399999999</v>
      </c>
    </row>
    <row r="10">
      <c r="A10" s="10" t="n">
        <v>2022</v>
      </c>
      <c r="B10" s="21" t="n">
        <v>11.97</v>
      </c>
      <c r="C10" s="11" t="n">
        <v>40325.34</v>
      </c>
      <c r="D10" s="10" t="n">
        <v>143.2809</v>
      </c>
      <c r="E10" s="10" t="n">
        <v>1626133046.12</v>
      </c>
      <c r="F10" s="10" t="n">
        <v>482694.32</v>
      </c>
    </row>
    <row r="11">
      <c r="A11" s="10" t="n">
        <v>2023</v>
      </c>
      <c r="B11" s="21" t="n">
        <v>17.77</v>
      </c>
      <c r="C11" s="11" t="n">
        <v>58328.86</v>
      </c>
      <c r="D11" s="10" t="n">
        <v>315.7729</v>
      </c>
      <c r="E11" s="10" t="n">
        <v>3402255908.9</v>
      </c>
      <c r="F11" s="10" t="n">
        <v>1036503.84</v>
      </c>
    </row>
    <row r="12">
      <c r="A12" s="30" t="inlineStr">
        <is>
          <t>SUMATORIO</t>
        </is>
      </c>
      <c r="B12" s="31" t="n">
        <v>72.96000000000001</v>
      </c>
      <c r="C12" s="31" t="n">
        <v>226532.64</v>
      </c>
      <c r="D12" s="31" t="n">
        <v>1094.1204</v>
      </c>
      <c r="E12" s="31" t="n">
        <v>10560050120.08</v>
      </c>
      <c r="F12" s="31" t="n">
        <v>3374184.14</v>
      </c>
    </row>
    <row r="13"/>
    <row r="14">
      <c r="A14" s="9" t="inlineStr">
        <is>
          <t>RESULTADOS DEL ANÁLISIS</t>
        </is>
      </c>
    </row>
    <row r="15">
      <c r="A15" s="1" t="inlineStr">
        <is>
          <t>Parámetro</t>
        </is>
      </c>
      <c r="B15" s="1" t="inlineStr">
        <is>
          <t>Valor</t>
        </is>
      </c>
    </row>
    <row r="16">
      <c r="A16" s="32" t="inlineStr">
        <is>
          <t>n (observaciones)</t>
        </is>
      </c>
      <c r="B16" s="10" t="n">
        <v>5</v>
      </c>
    </row>
    <row r="17">
      <c r="A17" s="32" t="inlineStr">
        <is>
          <t>Σx</t>
        </is>
      </c>
      <c r="B17" s="10" t="n">
        <v>72.95999999999999</v>
      </c>
    </row>
    <row r="18">
      <c r="A18" s="32" t="inlineStr">
        <is>
          <t>Σy</t>
        </is>
      </c>
      <c r="B18" s="10" t="n">
        <v>226532.64</v>
      </c>
    </row>
    <row r="19">
      <c r="A19" s="32" t="inlineStr">
        <is>
          <t>Σxy</t>
        </is>
      </c>
      <c r="B19" s="10" t="n">
        <v>3374184.14</v>
      </c>
    </row>
    <row r="20">
      <c r="A20" s="32" t="inlineStr">
        <is>
          <t>Σx²</t>
        </is>
      </c>
      <c r="B20" s="10" t="n">
        <v>1094.1204</v>
      </c>
    </row>
    <row r="21">
      <c r="A21" s="32" t="inlineStr">
        <is>
          <t>Σy²</t>
        </is>
      </c>
      <c r="B21" s="10" t="n">
        <v>10560050120.08</v>
      </c>
    </row>
    <row r="22">
      <c r="A22" s="32" t="inlineStr">
        <is>
          <t>Numerador (nΣxy − ΣxΣy)</t>
        </is>
      </c>
      <c r="B22" s="10" t="n">
        <v>343099.28</v>
      </c>
    </row>
    <row r="23">
      <c r="A23" s="32" t="inlineStr">
        <is>
          <t>Denominador √[(nΣx²−(Σx)²)(nΣy²−(Σy)²)]</t>
        </is>
      </c>
      <c r="B23" s="10" t="n">
        <v>467638.33</v>
      </c>
    </row>
    <row r="24">
      <c r="A24" s="32" t="inlineStr">
        <is>
          <t>Coeficiente de Pearson (r)</t>
        </is>
      </c>
      <c r="B24" s="33" t="n">
        <v>0.733685</v>
      </c>
    </row>
    <row r="25">
      <c r="A25" s="32" t="inlineStr">
        <is>
          <t>r²</t>
        </is>
      </c>
      <c r="B25" s="10" t="n">
        <v>0.5382940000000001</v>
      </c>
    </row>
    <row r="26"/>
    <row r="27">
      <c r="A27" s="34" t="inlineStr">
        <is>
          <t>INTERPRETACIÓN: La correlación entre el desempleo y el PIB per cápita de España es fuerte y positiva (directa) (r = 0.7337).</t>
        </is>
      </c>
    </row>
    <row r="28">
      <c r="A28" s="29" t="inlineStr">
        <is>
          <t>El coeficiente de determinación r² = 0.5383 indica que el 53.83% de la variabilidad del PIB se explica por el desempleo.</t>
        </is>
      </c>
    </row>
    <row r="29"/>
    <row r="30">
      <c r="A30" s="35" t="inlineStr">
        <is>
          <t>Fórmula Excel equivalente:</t>
        </is>
      </c>
    </row>
    <row r="31">
      <c r="A31" s="36">
        <f>PEARSON(B7:B11,C7:C11)</f>
        <v/>
      </c>
    </row>
  </sheetData>
  <mergeCells count="3">
    <mergeCell ref="A14:F14"/>
    <mergeCell ref="A1:F1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2026-10-22T13:37:15Z</dcterms:created>
  <dcterms:modified xmlns:dcterms="http://purl.org/dc/terms/" xmlns:xsi="http://www.w3.org/2001/XMLSchema-instance" xsi:type="dcterms:W3CDTF">2026-10-22T13:37:15Z</dcterms:modified>
</cp:coreProperties>
</file>